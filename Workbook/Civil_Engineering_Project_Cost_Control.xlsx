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MyYoga\Downloads\Excel Course\"/>
    </mc:Choice>
  </mc:AlternateContent>
  <xr:revisionPtr revIDLastSave="0" documentId="13_ncr:1_{CF0B6167-8435-44F4-8BC3-755000391B29}" xr6:coauthVersionLast="36" xr6:coauthVersionMax="36" xr10:uidLastSave="{00000000-0000-0000-0000-000000000000}"/>
  <bookViews>
    <workbookView xWindow="0" yWindow="0" windowWidth="14920" windowHeight="7520" activeTab="2" xr2:uid="{C20B452F-3A1B-4F6D-9002-42E9F1A5A02D}"/>
  </bookViews>
  <sheets>
    <sheet name="Projects" sheetId="1" r:id="rId1"/>
    <sheet name="Clients" sheetId="2" r:id="rId2"/>
    <sheet name="Budget" sheetId="4" r:id="rId3"/>
    <sheet name="Cost_Categories" sheetId="3" r:id="rId4"/>
    <sheet name="Actual_Cost" sheetId="7" r:id="rId5"/>
    <sheet name="Cost_Reconciliation" sheetId="5" r:id="rId6"/>
    <sheet name="Variance_Analysis" sheetId="8" r:id="rId7"/>
    <sheet name="Pivot_Analysis" sheetId="13" r:id="rId8"/>
    <sheet name="Dashboard" sheetId="10" state="hidden" r:id="rId9"/>
    <sheet name="Dashboard_data" sheetId="15" r:id="rId10"/>
    <sheet name="Dashboard II" sheetId="16" r:id="rId11"/>
  </sheets>
  <definedNames>
    <definedName name="Slicer_Cost_Category">#N/A</definedName>
    <definedName name="Slicer_Project_Name1">#N/A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6" i="16" l="1"/>
  <c r="E47" i="16"/>
  <c r="E48" i="16"/>
  <c r="E49" i="16"/>
  <c r="E45" i="16"/>
  <c r="D46" i="16"/>
  <c r="D47" i="16"/>
  <c r="D48" i="16"/>
  <c r="D49" i="16"/>
  <c r="D45" i="16"/>
  <c r="C46" i="16"/>
  <c r="C47" i="16"/>
  <c r="C48" i="16"/>
  <c r="C49" i="16"/>
  <c r="C45" i="16"/>
  <c r="B45" i="16"/>
  <c r="B49" i="16"/>
  <c r="B48" i="16"/>
  <c r="B46" i="16"/>
  <c r="B47" i="16"/>
  <c r="B3" i="15" l="1"/>
  <c r="B11" i="15"/>
  <c r="B10" i="15"/>
  <c r="B9" i="15"/>
  <c r="B8" i="15"/>
  <c r="B2" i="15"/>
  <c r="B4" i="15"/>
  <c r="B12" i="15" s="1"/>
  <c r="E26" i="10"/>
  <c r="C26" i="10"/>
  <c r="A26" i="10"/>
  <c r="K7" i="10"/>
  <c r="E7" i="10"/>
  <c r="C7" i="10"/>
  <c r="A7" i="10"/>
  <c r="F7" i="1"/>
  <c r="G26" i="10"/>
  <c r="E27" i="10"/>
  <c r="A27" i="10"/>
  <c r="C27" i="10"/>
  <c r="E18" i="15"/>
  <c r="E19" i="15"/>
  <c r="E17" i="15"/>
  <c r="E20" i="15"/>
  <c r="E21" i="15"/>
  <c r="D21" i="15"/>
  <c r="D17" i="15"/>
  <c r="D18" i="15"/>
  <c r="D19" i="15"/>
  <c r="B18" i="15"/>
  <c r="B21" i="15"/>
  <c r="C18" i="15"/>
  <c r="B19" i="15"/>
  <c r="B17" i="15"/>
  <c r="C19" i="15"/>
  <c r="C21" i="15"/>
  <c r="C20" i="15"/>
  <c r="D20" i="15"/>
  <c r="C17" i="15"/>
  <c r="B20" i="15"/>
  <c r="C30" i="15" l="1"/>
  <c r="B30" i="15" s="1"/>
  <c r="C29" i="15"/>
  <c r="B29" i="15" s="1"/>
  <c r="C28" i="15"/>
  <c r="B28" i="15" s="1"/>
  <c r="C27" i="15"/>
  <c r="B27" i="15" s="1"/>
  <c r="C31" i="15"/>
  <c r="B31" i="15" s="1"/>
  <c r="F21" i="15"/>
  <c r="F20" i="15"/>
  <c r="F17" i="15"/>
  <c r="F19" i="15"/>
  <c r="F18" i="15"/>
  <c r="B7" i="15"/>
  <c r="D17" i="13"/>
  <c r="D18" i="13"/>
  <c r="D19" i="13"/>
  <c r="D20" i="13"/>
  <c r="D21" i="13"/>
  <c r="D16" i="13"/>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G2" i="5"/>
  <c r="G3" i="5"/>
  <c r="G4" i="5"/>
  <c r="G5" i="5"/>
  <c r="G6" i="5"/>
  <c r="J2" i="7"/>
  <c r="J3" i="7"/>
  <c r="J4" i="7"/>
  <c r="J5" i="7"/>
  <c r="J6" i="7"/>
  <c r="J7" i="7"/>
  <c r="J8" i="7"/>
  <c r="J9" i="7"/>
  <c r="J10" i="7"/>
  <c r="J11" i="7"/>
  <c r="J12" i="7"/>
  <c r="J13" i="7"/>
  <c r="J14" i="7"/>
  <c r="J15" i="7"/>
  <c r="J16" i="7"/>
  <c r="J17" i="7"/>
  <c r="J18" i="7"/>
  <c r="J19" i="7"/>
  <c r="J20" i="7"/>
  <c r="J21" i="7"/>
  <c r="J22" i="7"/>
  <c r="J23" i="7"/>
  <c r="J24" i="7"/>
  <c r="J25" i="7"/>
  <c r="J26" i="7"/>
  <c r="J27" i="7"/>
  <c r="J28" i="7"/>
  <c r="J29" i="7"/>
  <c r="D3" i="5"/>
  <c r="D2" i="5"/>
  <c r="D4" i="5"/>
  <c r="D5" i="5"/>
  <c r="D6" i="5"/>
  <c r="D2" i="4"/>
  <c r="D18" i="4"/>
  <c r="D34" i="4"/>
  <c r="D11" i="4"/>
  <c r="D27" i="4"/>
  <c r="D4" i="4"/>
  <c r="D36" i="4"/>
  <c r="D5" i="4"/>
  <c r="D13" i="4"/>
  <c r="D21" i="4"/>
  <c r="D29" i="4"/>
  <c r="D15" i="4"/>
  <c r="D31" i="4"/>
  <c r="D16" i="4"/>
  <c r="D32" i="4"/>
  <c r="D28" i="4"/>
  <c r="D6" i="4"/>
  <c r="D14" i="4"/>
  <c r="D22" i="4"/>
  <c r="D30" i="4"/>
  <c r="D7" i="4"/>
  <c r="D23" i="4"/>
  <c r="D8" i="4"/>
  <c r="D24" i="4"/>
  <c r="D12" i="4"/>
  <c r="D9" i="4"/>
  <c r="D17" i="4"/>
  <c r="D25" i="4"/>
  <c r="D33" i="4"/>
  <c r="D10" i="4"/>
  <c r="D26" i="4"/>
  <c r="D3" i="4"/>
  <c r="D19" i="4"/>
  <c r="D35" i="4"/>
  <c r="D20" i="4"/>
  <c r="F29" i="7"/>
  <c r="F22" i="7"/>
  <c r="F15" i="7"/>
  <c r="F7" i="7"/>
  <c r="F24" i="7"/>
  <c r="F2" i="7"/>
  <c r="F23" i="7"/>
  <c r="F9" i="7"/>
  <c r="F26" i="7"/>
  <c r="F10" i="7"/>
  <c r="F17" i="7"/>
  <c r="F19" i="7"/>
  <c r="F3" i="7"/>
  <c r="F25" i="7"/>
  <c r="F13" i="7"/>
  <c r="F6" i="7"/>
  <c r="F28" i="7"/>
  <c r="F11" i="7"/>
  <c r="F21" i="7"/>
  <c r="F27" i="7"/>
  <c r="F14" i="7"/>
  <c r="F16" i="7"/>
  <c r="F5" i="7"/>
  <c r="F12" i="7"/>
  <c r="F4" i="7"/>
  <c r="F18" i="7"/>
  <c r="F8" i="7"/>
  <c r="F20" i="7"/>
  <c r="D13" i="7"/>
  <c r="D24" i="7"/>
  <c r="D8" i="7"/>
  <c r="C6" i="5"/>
  <c r="B4" i="5"/>
  <c r="J2" i="1"/>
  <c r="D21" i="7"/>
  <c r="D19" i="7"/>
  <c r="D9" i="7"/>
  <c r="C5" i="5"/>
  <c r="D29" i="7"/>
  <c r="D7" i="7"/>
  <c r="D17" i="7"/>
  <c r="C2" i="5"/>
  <c r="D3" i="7"/>
  <c r="D26" i="7"/>
  <c r="D15" i="7"/>
  <c r="D25" i="7"/>
  <c r="C3" i="5"/>
  <c r="D11" i="7"/>
  <c r="D12" i="7"/>
  <c r="D23" i="7"/>
  <c r="D2" i="7"/>
  <c r="B5" i="5"/>
  <c r="J4" i="1"/>
  <c r="D28" i="7"/>
  <c r="D6" i="7"/>
  <c r="D16" i="7"/>
  <c r="D10" i="7"/>
  <c r="B6" i="5"/>
  <c r="J5" i="1"/>
  <c r="D4" i="7"/>
  <c r="D18" i="7"/>
  <c r="B3" i="5"/>
  <c r="D5" i="7"/>
  <c r="D20" i="7"/>
  <c r="B2" i="5"/>
  <c r="D14" i="7"/>
  <c r="D27" i="7"/>
  <c r="J6" i="1"/>
  <c r="D22" i="7"/>
  <c r="C4" i="5"/>
  <c r="J3" i="1"/>
  <c r="D5" i="8"/>
  <c r="D35" i="8"/>
  <c r="D32" i="8"/>
  <c r="D10" i="8"/>
  <c r="D28" i="8"/>
  <c r="B19" i="8"/>
  <c r="B21" i="8"/>
  <c r="B28" i="8"/>
  <c r="B27" i="8"/>
  <c r="B9" i="8"/>
  <c r="B35" i="8"/>
  <c r="B3" i="8"/>
  <c r="D17" i="8"/>
  <c r="D15" i="8"/>
  <c r="D8" i="8"/>
  <c r="B10" i="8"/>
  <c r="B4" i="8"/>
  <c r="B11" i="8"/>
  <c r="B20" i="8"/>
  <c r="B5" i="8"/>
  <c r="B13" i="8"/>
  <c r="B34" i="8"/>
  <c r="B6" i="8"/>
  <c r="D29" i="8"/>
  <c r="D22" i="8"/>
  <c r="B36" i="8"/>
  <c r="D6" i="8"/>
  <c r="D12" i="8"/>
  <c r="D11" i="8"/>
  <c r="D33" i="8"/>
  <c r="D9" i="8"/>
  <c r="D24" i="8"/>
  <c r="D30" i="8"/>
  <c r="B22" i="8"/>
  <c r="B30" i="8"/>
  <c r="B8" i="8"/>
  <c r="D13" i="8"/>
  <c r="B32" i="8"/>
  <c r="D3" i="8"/>
  <c r="D23" i="8"/>
  <c r="B18" i="8"/>
  <c r="B25" i="8"/>
  <c r="D2" i="8"/>
  <c r="D4" i="8"/>
  <c r="B7" i="8"/>
  <c r="D18" i="8"/>
  <c r="D36" i="8"/>
  <c r="B15" i="8"/>
  <c r="B23" i="8"/>
  <c r="D21" i="8"/>
  <c r="D7" i="8"/>
  <c r="D31" i="8"/>
  <c r="D34" i="8"/>
  <c r="B26" i="8"/>
  <c r="B17" i="8"/>
  <c r="B12" i="8"/>
  <c r="B33" i="8"/>
  <c r="D16" i="8"/>
  <c r="D25" i="8"/>
  <c r="B2" i="8"/>
  <c r="B16" i="8"/>
  <c r="D14" i="8"/>
  <c r="D26" i="8"/>
  <c r="B29" i="8"/>
  <c r="D19" i="8"/>
  <c r="D27" i="8"/>
  <c r="B14" i="8"/>
  <c r="B31" i="8"/>
  <c r="D20" i="8"/>
  <c r="B24" i="8"/>
  <c r="C7" i="5" l="1"/>
  <c r="H2" i="5"/>
  <c r="D7" i="5"/>
  <c r="H4" i="5"/>
  <c r="G7" i="5"/>
  <c r="I5" i="5"/>
  <c r="E37" i="8"/>
  <c r="F37" i="8"/>
  <c r="H3" i="5"/>
  <c r="I6" i="5"/>
  <c r="H6" i="5"/>
  <c r="I4" i="5"/>
  <c r="I3" i="5"/>
  <c r="H5" i="5"/>
  <c r="I2" i="5"/>
  <c r="E3" i="5"/>
  <c r="F3" i="5" s="1"/>
  <c r="E2" i="5"/>
  <c r="E5" i="5"/>
  <c r="F5" i="5" s="1"/>
  <c r="E6" i="5"/>
  <c r="F6" i="5" s="1"/>
  <c r="E4" i="5"/>
  <c r="F4" i="5" s="1"/>
  <c r="G35" i="8"/>
  <c r="H35" i="8"/>
  <c r="I35" i="8" s="1"/>
  <c r="G2" i="8"/>
  <c r="H2" i="8"/>
  <c r="I2" i="8" s="1"/>
  <c r="G18" i="8"/>
  <c r="H18" i="8"/>
  <c r="I18" i="8" s="1"/>
  <c r="H23" i="8"/>
  <c r="I23" i="8" s="1"/>
  <c r="G23" i="8"/>
  <c r="G12" i="8"/>
  <c r="H12" i="8"/>
  <c r="I12" i="8" s="1"/>
  <c r="G28" i="8"/>
  <c r="H28" i="8"/>
  <c r="I28" i="8" s="1"/>
  <c r="G22" i="8"/>
  <c r="H22" i="8"/>
  <c r="I22" i="8" s="1"/>
  <c r="G4" i="8"/>
  <c r="H4" i="8"/>
  <c r="I4" i="8" s="1"/>
  <c r="G20" i="8"/>
  <c r="H20" i="8"/>
  <c r="I20" i="8" s="1"/>
  <c r="G36" i="8"/>
  <c r="H36" i="8"/>
  <c r="I36" i="8" s="1"/>
  <c r="G32" i="8"/>
  <c r="H32" i="8"/>
  <c r="I32" i="8" s="1"/>
  <c r="G30" i="8"/>
  <c r="H30" i="8"/>
  <c r="I30" i="8" s="1"/>
  <c r="G31" i="8"/>
  <c r="H31" i="8"/>
  <c r="I31" i="8" s="1"/>
  <c r="G9" i="8"/>
  <c r="H9" i="8"/>
  <c r="I9" i="8" s="1"/>
  <c r="H24" i="8"/>
  <c r="I24" i="8" s="1"/>
  <c r="G24" i="8"/>
  <c r="G27" i="8"/>
  <c r="H27" i="8"/>
  <c r="I27" i="8" s="1"/>
  <c r="G19" i="8"/>
  <c r="H19" i="8"/>
  <c r="I19" i="8" s="1"/>
  <c r="G26" i="8"/>
  <c r="H26" i="8"/>
  <c r="I26" i="8" s="1"/>
  <c r="G10" i="8"/>
  <c r="H10" i="8"/>
  <c r="I10" i="8" s="1"/>
  <c r="G15" i="8"/>
  <c r="H15" i="8"/>
  <c r="I15" i="8" s="1"/>
  <c r="G11" i="8"/>
  <c r="H11" i="8"/>
  <c r="I11" i="8" s="1"/>
  <c r="G13" i="8"/>
  <c r="H13" i="8"/>
  <c r="I13" i="8" s="1"/>
  <c r="H16" i="8"/>
  <c r="I16" i="8" s="1"/>
  <c r="G16" i="8"/>
  <c r="G3" i="8"/>
  <c r="H3" i="8"/>
  <c r="I3" i="8" s="1"/>
  <c r="G5" i="8"/>
  <c r="H5" i="8"/>
  <c r="I5" i="8" s="1"/>
  <c r="H8" i="8"/>
  <c r="I8" i="8" s="1"/>
  <c r="G8" i="8"/>
  <c r="G7" i="8"/>
  <c r="H7" i="8"/>
  <c r="I7" i="8" s="1"/>
  <c r="G14" i="8"/>
  <c r="H14" i="8"/>
  <c r="I14" i="8" s="1"/>
  <c r="H29" i="8"/>
  <c r="I29" i="8" s="1"/>
  <c r="G29" i="8"/>
  <c r="H33" i="8"/>
  <c r="I33" i="8" s="1"/>
  <c r="G33" i="8"/>
  <c r="H25" i="8"/>
  <c r="I25" i="8" s="1"/>
  <c r="G25" i="8"/>
  <c r="G34" i="8"/>
  <c r="H34" i="8"/>
  <c r="I34" i="8" s="1"/>
  <c r="G6" i="8"/>
  <c r="H6" i="8"/>
  <c r="I6" i="8" s="1"/>
  <c r="H21" i="8"/>
  <c r="I21" i="8" s="1"/>
  <c r="G21" i="8"/>
  <c r="H17" i="8"/>
  <c r="I17" i="8" s="1"/>
  <c r="G17" i="8"/>
  <c r="E7" i="5" l="1"/>
  <c r="H7" i="5"/>
  <c r="B5" i="15"/>
  <c r="F2" i="5"/>
  <c r="B6" i="15"/>
  <c r="I7" i="10"/>
  <c r="G7" i="10"/>
  <c r="H37" i="8"/>
  <c r="G37" i="8"/>
</calcChain>
</file>

<file path=xl/sharedStrings.xml><?xml version="1.0" encoding="utf-8"?>
<sst xmlns="http://schemas.openxmlformats.org/spreadsheetml/2006/main" count="494" uniqueCount="199">
  <si>
    <t>Project ID</t>
  </si>
  <si>
    <t>Project Name</t>
  </si>
  <si>
    <t>Client ID</t>
  </si>
  <si>
    <t>Client Name</t>
  </si>
  <si>
    <t>Project Manager</t>
  </si>
  <si>
    <t>Region</t>
  </si>
  <si>
    <t>Contract Value</t>
  </si>
  <si>
    <t>Start Date</t>
  </si>
  <si>
    <t>End Date</t>
  </si>
  <si>
    <t>Status</t>
  </si>
  <si>
    <t>P001</t>
  </si>
  <si>
    <t>Bridge Alpha</t>
  </si>
  <si>
    <t>C001</t>
  </si>
  <si>
    <t>Network Rail</t>
  </si>
  <si>
    <t>James Carter</t>
  </si>
  <si>
    <t>Midlands</t>
  </si>
  <si>
    <t>Active</t>
  </si>
  <si>
    <t>P002</t>
  </si>
  <si>
    <t>Water Main Bravo</t>
  </si>
  <si>
    <t>C002</t>
  </si>
  <si>
    <t>Thames Water</t>
  </si>
  <si>
    <t>Sarah Ahmed</t>
  </si>
  <si>
    <t>South East</t>
  </si>
  <si>
    <t>P003</t>
  </si>
  <si>
    <t>Highway Charlie</t>
  </si>
  <si>
    <t>C003</t>
  </si>
  <si>
    <t>National Highways</t>
  </si>
  <si>
    <t>Michael Green</t>
  </si>
  <si>
    <t>North West</t>
  </si>
  <si>
    <t>P004</t>
  </si>
  <si>
    <t>Rail Extension Delta</t>
  </si>
  <si>
    <t>Emma Lewis</t>
  </si>
  <si>
    <t>P005</t>
  </si>
  <si>
    <t>Flood Defence Echo</t>
  </si>
  <si>
    <t>C004</t>
  </si>
  <si>
    <t>Environment Agency</t>
  </si>
  <si>
    <t>Daniel Hughes</t>
  </si>
  <si>
    <t>South West</t>
  </si>
  <si>
    <t>Planning</t>
  </si>
  <si>
    <t>Contact Person</t>
  </si>
  <si>
    <t>Email</t>
  </si>
  <si>
    <t>Phone</t>
  </si>
  <si>
    <t>David Smith</t>
  </si>
  <si>
    <t>david.smith@networkrail.co.uk</t>
  </si>
  <si>
    <t>020 7946 1001</t>
  </si>
  <si>
    <t>Emily Jones</t>
  </si>
  <si>
    <t>emily.jones@thameswater.co.uk</t>
  </si>
  <si>
    <t>020 7946 1002</t>
  </si>
  <si>
    <t>Peter Brown</t>
  </si>
  <si>
    <t>peter.brown@nationalhighways.co.uk</t>
  </si>
  <si>
    <t>020 7946 1003</t>
  </si>
  <si>
    <t>Lisa Taylor</t>
  </si>
  <si>
    <t>lisa.taylor@environment-agency.gov.uk</t>
  </si>
  <si>
    <t>020 7946 1004</t>
  </si>
  <si>
    <t>Category ID</t>
  </si>
  <si>
    <t>Cost Category</t>
  </si>
  <si>
    <t>Budget Amount</t>
  </si>
  <si>
    <t>CAT01</t>
  </si>
  <si>
    <t>Labour</t>
  </si>
  <si>
    <t>CAT02</t>
  </si>
  <si>
    <t>Materials</t>
  </si>
  <si>
    <t>CAT03</t>
  </si>
  <si>
    <t>Plant Hire</t>
  </si>
  <si>
    <t>CAT04</t>
  </si>
  <si>
    <t>Subcontractors</t>
  </si>
  <si>
    <t>CAT05</t>
  </si>
  <si>
    <t>Fuel &amp; Transport</t>
  </si>
  <si>
    <t>CAT06</t>
  </si>
  <si>
    <t>Site Overheads</t>
  </si>
  <si>
    <t>CAT07</t>
  </si>
  <si>
    <t>Contingency</t>
  </si>
  <si>
    <t>Cost Budget</t>
  </si>
  <si>
    <t>Planned Margin</t>
  </si>
  <si>
    <t>Margin %</t>
  </si>
  <si>
    <t>Invoice No</t>
  </si>
  <si>
    <t>Supplier</t>
  </si>
  <si>
    <t>Description</t>
  </si>
  <si>
    <t>Amount</t>
  </si>
  <si>
    <t>Month</t>
  </si>
  <si>
    <t>INV-1001</t>
  </si>
  <si>
    <t>Midland Steel Ltd</t>
  </si>
  <si>
    <t>Reinforcement steel</t>
  </si>
  <si>
    <t>INV-1002</t>
  </si>
  <si>
    <t>BuildForce Labour</t>
  </si>
  <si>
    <t>January site labour</t>
  </si>
  <si>
    <t>INV-1003</t>
  </si>
  <si>
    <t>Heavy Plant Hire Ltd</t>
  </si>
  <si>
    <t>Excavator hire</t>
  </si>
  <si>
    <t>INV-1004</t>
  </si>
  <si>
    <t>Concrete Solutions</t>
  </si>
  <si>
    <t>Structural concrete</t>
  </si>
  <si>
    <t>INV-1005</t>
  </si>
  <si>
    <t>Apex Structures</t>
  </si>
  <si>
    <t>Specialist steel installation</t>
  </si>
  <si>
    <t>INV-1006</t>
  </si>
  <si>
    <t>February and March labour</t>
  </si>
  <si>
    <t>INV-1007</t>
  </si>
  <si>
    <t>UK Fuel Services</t>
  </si>
  <si>
    <t>Diesel and transport</t>
  </si>
  <si>
    <t>INV-1008</t>
  </si>
  <si>
    <t>SiteSafe Services</t>
  </si>
  <si>
    <t>Site accommodation and security</t>
  </si>
  <si>
    <t>INV-2001</t>
  </si>
  <si>
    <t>Aqua Civil Labour</t>
  </si>
  <si>
    <t>Initial site labour</t>
  </si>
  <si>
    <t>INV-2002</t>
  </si>
  <si>
    <t>Excavation Plant UK</t>
  </si>
  <si>
    <t>Trenching equipment</t>
  </si>
  <si>
    <t>INV-2003</t>
  </si>
  <si>
    <t>PipeWorks UK</t>
  </si>
  <si>
    <t>Water pipes</t>
  </si>
  <si>
    <t>INV-2004</t>
  </si>
  <si>
    <t>Utility Specialists Ltd</t>
  </si>
  <si>
    <t>Specialist installation work</t>
  </si>
  <si>
    <t>INV-2005</t>
  </si>
  <si>
    <t>March labour</t>
  </si>
  <si>
    <t>INV-2006</t>
  </si>
  <si>
    <t>Fleet Transport UK</t>
  </si>
  <si>
    <t>Fuel and delivery</t>
  </si>
  <si>
    <t>INV-3001</t>
  </si>
  <si>
    <t>RoadStone Materials</t>
  </si>
  <si>
    <t>Aggregates</t>
  </si>
  <si>
    <t>INV-3002</t>
  </si>
  <si>
    <t>Highway Plant Hire</t>
  </si>
  <si>
    <t>Road rollers and plant</t>
  </si>
  <si>
    <t>INV-3003</t>
  </si>
  <si>
    <t>Northern Civils Labour</t>
  </si>
  <si>
    <t>INV-3004</t>
  </si>
  <si>
    <t>Asphalt Direct</t>
  </si>
  <si>
    <t>Asphalt materials</t>
  </si>
  <si>
    <t>INV-3005</t>
  </si>
  <si>
    <t>RoadMark Contractors</t>
  </si>
  <si>
    <t>Specialist road works</t>
  </si>
  <si>
    <t>INV-3006</t>
  </si>
  <si>
    <t>Northern Fuel Ltd</t>
  </si>
  <si>
    <t>Fuel</t>
  </si>
  <si>
    <t>INV-4001</t>
  </si>
  <si>
    <t>RailBuild Workforce</t>
  </si>
  <si>
    <t>Initial labour</t>
  </si>
  <si>
    <t>INV-4002</t>
  </si>
  <si>
    <t>Track Materials UK</t>
  </si>
  <si>
    <t>Rail materials</t>
  </si>
  <si>
    <t>INV-4003</t>
  </si>
  <si>
    <t>Rail Plant Hire Ltd</t>
  </si>
  <si>
    <t>Specialist machinery</t>
  </si>
  <si>
    <t>INV-4004</t>
  </si>
  <si>
    <t>Rail Systems Ltd</t>
  </si>
  <si>
    <t>Signalling preparation</t>
  </si>
  <si>
    <t>INV-5001</t>
  </si>
  <si>
    <t>FloodWorks Labour</t>
  </si>
  <si>
    <t>Site preparation labour</t>
  </si>
  <si>
    <t>INV-5002</t>
  </si>
  <si>
    <t>Earthworks Plant Ltd</t>
  </si>
  <si>
    <t>Earthmoving equipment</t>
  </si>
  <si>
    <t>INV-5003</t>
  </si>
  <si>
    <t>Environmental Civils Ltd</t>
  </si>
  <si>
    <t>Specialist flood works</t>
  </si>
  <si>
    <t>INV-5004</t>
  </si>
  <si>
    <t>Barrier Systems UK</t>
  </si>
  <si>
    <t>Flood barrier materials</t>
  </si>
  <si>
    <t>Actual Spend</t>
  </si>
  <si>
    <t>Remaining Budget</t>
  </si>
  <si>
    <t>Budget Used %</t>
  </si>
  <si>
    <t>Budget</t>
  </si>
  <si>
    <t>Actual Cost</t>
  </si>
  <si>
    <t>Variance Status</t>
  </si>
  <si>
    <t>Total</t>
  </si>
  <si>
    <t>Grand Total</t>
  </si>
  <si>
    <t>01-Jan</t>
  </si>
  <si>
    <t>01-Feb</t>
  </si>
  <si>
    <t>01-Mar</t>
  </si>
  <si>
    <t>01-Apr</t>
  </si>
  <si>
    <t>01-May</t>
  </si>
  <si>
    <t>Sum of Amount</t>
  </si>
  <si>
    <t>(All)</t>
  </si>
  <si>
    <t>Total Contract Value</t>
  </si>
  <si>
    <t>Total Cost Budget</t>
  </si>
  <si>
    <t>Commercial Cost Dashboard</t>
  </si>
  <si>
    <t>Reporting Period: January 2026 - May 2026</t>
  </si>
  <si>
    <t>Highest Spend Category</t>
  </si>
  <si>
    <t>cat</t>
  </si>
  <si>
    <t>Highest Spend Month</t>
  </si>
  <si>
    <t>Largest Supplier</t>
  </si>
  <si>
    <t>Project Active</t>
  </si>
  <si>
    <t>Row Labels</t>
  </si>
  <si>
    <t>Count of Project ID</t>
  </si>
  <si>
    <t>KPI</t>
  </si>
  <si>
    <t>Formula</t>
  </si>
  <si>
    <t>Total Budget</t>
  </si>
  <si>
    <t>Projects Active</t>
  </si>
  <si>
    <t xml:space="preserve">Joseph Gallagher Group
Commercial Cost Dashboard </t>
  </si>
  <si>
    <t>Budget available %</t>
  </si>
  <si>
    <t>Actual</t>
  </si>
  <si>
    <t>project ID</t>
  </si>
  <si>
    <t>Project</t>
  </si>
  <si>
    <t>budget used %</t>
  </si>
  <si>
    <t>Budget used</t>
  </si>
  <si>
    <t>Manager</t>
  </si>
  <si>
    <t>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</si>
</sst>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
    <numFmt numFmtId="165" formatCode="0.0%"/>
    <numFmt numFmtId="166" formatCode="_-&quot;£&quot;* #,##0_-;\-&quot;£&quot;* #,##0_-;_-&quot;£&quot;* &quot;-&quot;??_-;_-@_-"/>
    <numFmt numFmtId="167" formatCode="&quot;£&quot;0.00,,&quot;M&quot;"/>
    <numFmt numFmtId="168" formatCode="&quot;£&quot;00.00,,&quot;M&quot;"/>
  </numFmts>
  <fonts count="14">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2"/>
      <color theme="0"/>
      <name val="Calibri"/>
      <family val="2"/>
      <scheme val="minor"/>
    </font>
    <font>
      <b/>
      <sz val="16"/>
      <color theme="0"/>
      <name val="Calibri"/>
      <family val="2"/>
      <scheme val="minor"/>
    </font>
    <font>
      <b/>
      <sz val="11"/>
      <color theme="0"/>
      <name val="Arial Black"/>
      <family val="2"/>
    </font>
    <font>
      <b/>
      <sz val="22"/>
      <color theme="0"/>
      <name val="Arial Black"/>
      <family val="2"/>
    </font>
    <font>
      <sz val="22"/>
      <color theme="0"/>
      <name val="Calibri"/>
      <family val="2"/>
      <scheme val="minor"/>
    </font>
    <font>
      <b/>
      <sz val="24"/>
      <color theme="1"/>
      <name val="Calibri"/>
      <family val="2"/>
      <scheme val="minor"/>
    </font>
    <font>
      <b/>
      <sz val="22"/>
      <color theme="1"/>
      <name val="Calibri"/>
      <family val="2"/>
      <scheme val="minor"/>
    </font>
    <font>
      <sz val="10"/>
      <color theme="1"/>
      <name val="Arial Unicode MS"/>
    </font>
    <font>
      <b/>
      <sz val="22"/>
      <color theme="0"/>
      <name val="Calibri"/>
      <family val="2"/>
      <scheme val="minor"/>
    </font>
  </fonts>
  <fills count="8">
    <fill>
      <patternFill patternType="none"/>
    </fill>
    <fill>
      <patternFill patternType="gray125"/>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5" tint="0.79998168889431442"/>
        <bgColor theme="5" tint="0.79998168889431442"/>
      </patternFill>
    </fill>
    <fill>
      <patternFill patternType="solid">
        <fgColor theme="8" tint="-0.249977111117893"/>
        <bgColor indexed="64"/>
      </patternFill>
    </fill>
    <fill>
      <patternFill patternType="solid">
        <fgColor theme="0"/>
        <bgColor indexed="64"/>
      </patternFill>
    </fill>
    <fill>
      <patternFill patternType="solid">
        <fgColor theme="2"/>
        <bgColor indexed="64"/>
      </patternFill>
    </fill>
  </fills>
  <borders count="13">
    <border>
      <left/>
      <right/>
      <top/>
      <bottom/>
      <diagonal/>
    </border>
    <border>
      <left style="thin">
        <color theme="5" tint="0.39997558519241921"/>
      </left>
      <right/>
      <top style="thin">
        <color theme="5" tint="0.39997558519241921"/>
      </top>
      <bottom style="thin">
        <color theme="5" tint="0.39997558519241921"/>
      </bottom>
      <diagonal/>
    </border>
    <border>
      <left style="thin">
        <color theme="5" tint="0.39997558519241921"/>
      </left>
      <right/>
      <top/>
      <bottom/>
      <diagonal/>
    </border>
    <border>
      <left/>
      <right/>
      <top style="thin">
        <color theme="4" tint="0.3999755851924192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theme="5" tint="0.39997558519241921"/>
      </top>
      <bottom style="thin">
        <color theme="5" tint="0.39997558519241921"/>
      </bottom>
      <diagonal/>
    </border>
  </borders>
  <cellStyleXfs count="2">
    <xf numFmtId="0" fontId="0" fillId="0" borderId="0"/>
    <xf numFmtId="0" fontId="4" fillId="0" borderId="0" applyNumberFormat="0" applyFill="0" applyBorder="0" applyAlignment="0" applyProtection="0"/>
  </cellStyleXfs>
  <cellXfs count="80">
    <xf numFmtId="0" fontId="0" fillId="0" borderId="0" xfId="0"/>
    <xf numFmtId="0" fontId="1" fillId="2" borderId="0" xfId="0" applyFont="1" applyFill="1"/>
    <xf numFmtId="0" fontId="0" fillId="0" borderId="0" xfId="0" applyAlignment="1">
      <alignment horizontal="center" vertical="center" wrapText="1"/>
    </xf>
    <xf numFmtId="0" fontId="0" fillId="0" borderId="0" xfId="0" applyAlignment="1">
      <alignment vertical="center" wrapText="1"/>
    </xf>
    <xf numFmtId="14" fontId="0" fillId="0" borderId="0" xfId="0" applyNumberFormat="1"/>
    <xf numFmtId="14" fontId="0" fillId="0" borderId="0" xfId="0" applyNumberFormat="1" applyAlignment="1">
      <alignment vertical="center" wrapText="1"/>
    </xf>
    <xf numFmtId="0" fontId="2" fillId="2" borderId="0" xfId="0" applyFont="1" applyFill="1" applyAlignment="1">
      <alignment horizontal="center" vertical="center" wrapText="1"/>
    </xf>
    <xf numFmtId="0" fontId="2" fillId="2" borderId="0" xfId="0" applyFont="1" applyFill="1" applyAlignment="1">
      <alignment horizontal="right" vertical="center" wrapText="1"/>
    </xf>
    <xf numFmtId="0" fontId="0" fillId="4" borderId="1" xfId="0" applyFont="1" applyFill="1" applyBorder="1" applyAlignment="1">
      <alignment vertical="center" wrapText="1"/>
    </xf>
    <xf numFmtId="14" fontId="2" fillId="2" borderId="0" xfId="0" applyNumberFormat="1" applyFont="1" applyFill="1" applyAlignment="1">
      <alignment horizontal="center" vertical="center" wrapText="1"/>
    </xf>
    <xf numFmtId="0" fontId="4" fillId="0" borderId="0" xfId="1" applyAlignment="1">
      <alignment vertical="center" wrapText="1"/>
    </xf>
    <xf numFmtId="49" fontId="0" fillId="0" borderId="0" xfId="0" applyNumberFormat="1" applyAlignment="1">
      <alignment vertical="center" wrapText="1"/>
    </xf>
    <xf numFmtId="49" fontId="0" fillId="0" borderId="0" xfId="0" applyNumberFormat="1"/>
    <xf numFmtId="49" fontId="2" fillId="2" borderId="0" xfId="0" applyNumberFormat="1" applyFont="1" applyFill="1" applyAlignment="1">
      <alignment horizontal="center" vertical="center" wrapText="1"/>
    </xf>
    <xf numFmtId="164" fontId="0" fillId="0" borderId="0" xfId="0" applyNumberFormat="1" applyAlignment="1">
      <alignment horizontal="right" vertical="center" wrapText="1"/>
    </xf>
    <xf numFmtId="164" fontId="0" fillId="0" borderId="0" xfId="0" applyNumberFormat="1"/>
    <xf numFmtId="164" fontId="2" fillId="2" borderId="0" xfId="0" applyNumberFormat="1" applyFont="1" applyFill="1" applyAlignment="1">
      <alignment horizontal="center" vertical="center" wrapText="1"/>
    </xf>
    <xf numFmtId="0" fontId="1" fillId="2"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vertical="center" wrapText="1"/>
    </xf>
    <xf numFmtId="164" fontId="0" fillId="0" borderId="0" xfId="0" applyNumberFormat="1" applyAlignment="1">
      <alignment horizontal="center"/>
    </xf>
    <xf numFmtId="10" fontId="2" fillId="2" borderId="0" xfId="0" applyNumberFormat="1" applyFont="1" applyFill="1" applyAlignment="1">
      <alignment horizontal="center" vertical="center" wrapText="1"/>
    </xf>
    <xf numFmtId="10" fontId="0" fillId="0" borderId="0" xfId="0" applyNumberFormat="1"/>
    <xf numFmtId="165" fontId="0" fillId="0" borderId="0" xfId="0" applyNumberFormat="1" applyAlignment="1">
      <alignment horizontal="right" vertical="center" wrapText="1"/>
    </xf>
    <xf numFmtId="9" fontId="0" fillId="0" borderId="0" xfId="0" applyNumberFormat="1" applyAlignment="1">
      <alignment horizontal="right" vertical="center" wrapText="1"/>
    </xf>
    <xf numFmtId="165" fontId="2" fillId="2" borderId="0" xfId="0" applyNumberFormat="1" applyFont="1" applyFill="1" applyAlignment="1">
      <alignment horizontal="center" vertical="center" wrapText="1"/>
    </xf>
    <xf numFmtId="165" fontId="0" fillId="0" borderId="0" xfId="0" applyNumberFormat="1"/>
    <xf numFmtId="9" fontId="2" fillId="2" borderId="0" xfId="0" applyNumberFormat="1" applyFont="1" applyFill="1" applyAlignment="1">
      <alignment horizontal="center" vertical="center" wrapText="1"/>
    </xf>
    <xf numFmtId="9" fontId="0" fillId="0" borderId="0" xfId="0" applyNumberFormat="1"/>
    <xf numFmtId="17" fontId="2" fillId="2" borderId="0" xfId="0" applyNumberFormat="1" applyFont="1" applyFill="1" applyAlignment="1">
      <alignment horizontal="center" vertical="center" wrapText="1"/>
    </xf>
    <xf numFmtId="17" fontId="0" fillId="0" borderId="0" xfId="0" applyNumberFormat="1"/>
    <xf numFmtId="0" fontId="0" fillId="4" borderId="2" xfId="0" applyFont="1" applyFill="1" applyBorder="1" applyAlignment="1">
      <alignment vertical="center" wrapText="1"/>
    </xf>
    <xf numFmtId="0" fontId="0" fillId="0" borderId="0" xfId="0" pivotButton="1"/>
    <xf numFmtId="164" fontId="3" fillId="3" borderId="3" xfId="0" applyNumberFormat="1" applyFont="1" applyFill="1" applyBorder="1"/>
    <xf numFmtId="0" fontId="0" fillId="0" borderId="1" xfId="0" applyFont="1" applyBorder="1" applyAlignment="1">
      <alignment vertical="center" wrapText="1"/>
    </xf>
    <xf numFmtId="0" fontId="0" fillId="0" borderId="0" xfId="0" applyAlignment="1">
      <alignment horizontal="right" vertical="center" wrapText="1"/>
    </xf>
    <xf numFmtId="0" fontId="0" fillId="0" borderId="0" xfId="0" applyAlignment="1"/>
    <xf numFmtId="0" fontId="1" fillId="5" borderId="0" xfId="0" applyFont="1" applyFill="1"/>
    <xf numFmtId="0" fontId="10" fillId="0" borderId="0" xfId="0" applyFont="1"/>
    <xf numFmtId="0" fontId="0" fillId="0" borderId="0" xfId="0" applyNumberFormat="1"/>
    <xf numFmtId="0" fontId="0" fillId="0" borderId="0" xfId="0" applyAlignment="1">
      <alignment horizontal="left"/>
    </xf>
    <xf numFmtId="0" fontId="3" fillId="0" borderId="0" xfId="0" applyFont="1" applyAlignment="1">
      <alignment horizontal="center" vertical="center" wrapText="1"/>
    </xf>
    <xf numFmtId="0" fontId="12" fillId="0" borderId="0" xfId="0" applyFont="1" applyAlignment="1">
      <alignment vertical="center" wrapText="1"/>
    </xf>
    <xf numFmtId="165" fontId="12" fillId="0" borderId="0" xfId="0" applyNumberFormat="1" applyFont="1" applyAlignment="1">
      <alignment vertical="center" wrapText="1"/>
    </xf>
    <xf numFmtId="17" fontId="0" fillId="0" borderId="0" xfId="0" applyNumberFormat="1" applyAlignment="1">
      <alignment vertical="center" wrapText="1"/>
    </xf>
    <xf numFmtId="168" fontId="12" fillId="0" borderId="0" xfId="0" applyNumberFormat="1" applyFont="1" applyAlignment="1">
      <alignment vertical="center" wrapText="1"/>
    </xf>
    <xf numFmtId="167" fontId="12" fillId="0" borderId="0" xfId="0" applyNumberFormat="1" applyFont="1" applyAlignment="1">
      <alignment vertical="center" wrapText="1"/>
    </xf>
    <xf numFmtId="165" fontId="0" fillId="0" borderId="0" xfId="0" applyNumberFormat="1" applyAlignment="1">
      <alignment vertical="center" wrapText="1"/>
    </xf>
    <xf numFmtId="167" fontId="0" fillId="0" borderId="0" xfId="0" applyNumberFormat="1"/>
    <xf numFmtId="0" fontId="0" fillId="7" borderId="4" xfId="0" applyFill="1" applyBorder="1"/>
    <xf numFmtId="0" fontId="0" fillId="7" borderId="5" xfId="0" applyFill="1" applyBorder="1"/>
    <xf numFmtId="0" fontId="0" fillId="7" borderId="6" xfId="0" applyFill="1" applyBorder="1"/>
    <xf numFmtId="0" fontId="0" fillId="7" borderId="7" xfId="0" applyFill="1" applyBorder="1"/>
    <xf numFmtId="0" fontId="0" fillId="7" borderId="0" xfId="0" applyFill="1" applyBorder="1"/>
    <xf numFmtId="0" fontId="0" fillId="7" borderId="8" xfId="0" applyFill="1" applyBorder="1"/>
    <xf numFmtId="0" fontId="0" fillId="7" borderId="9" xfId="0" applyFill="1" applyBorder="1"/>
    <xf numFmtId="0" fontId="0" fillId="7" borderId="10" xfId="0" applyFill="1" applyBorder="1"/>
    <xf numFmtId="0" fontId="0" fillId="7" borderId="11" xfId="0" applyFill="1" applyBorder="1"/>
    <xf numFmtId="164" fontId="11" fillId="6" borderId="0" xfId="0" applyNumberFormat="1" applyFont="1" applyFill="1" applyBorder="1" applyAlignment="1">
      <alignment horizontal="center"/>
    </xf>
    <xf numFmtId="164" fontId="10" fillId="7" borderId="0" xfId="0" applyNumberFormat="1" applyFont="1" applyFill="1" applyBorder="1" applyAlignment="1">
      <alignment horizontal="center"/>
    </xf>
    <xf numFmtId="0" fontId="6" fillId="5" borderId="0" xfId="0" applyFont="1" applyFill="1" applyAlignment="1">
      <alignment horizontal="center"/>
    </xf>
    <xf numFmtId="1" fontId="10" fillId="7" borderId="0" xfId="0" applyNumberFormat="1" applyFont="1" applyFill="1" applyBorder="1" applyAlignment="1">
      <alignment horizontal="center" vertical="center"/>
    </xf>
    <xf numFmtId="167" fontId="11" fillId="6" borderId="0" xfId="0" applyNumberFormat="1" applyFont="1" applyFill="1" applyBorder="1" applyAlignment="1">
      <alignment horizontal="center"/>
    </xf>
    <xf numFmtId="167" fontId="10" fillId="7" borderId="0" xfId="0" applyNumberFormat="1" applyFont="1" applyFill="1" applyBorder="1" applyAlignment="1">
      <alignment horizontal="center"/>
    </xf>
    <xf numFmtId="10" fontId="10" fillId="7" borderId="0" xfId="0" applyNumberFormat="1" applyFont="1" applyFill="1" applyBorder="1" applyAlignment="1">
      <alignment horizontal="center"/>
    </xf>
    <xf numFmtId="0" fontId="7" fillId="5" borderId="0" xfId="0" applyFont="1" applyFill="1" applyAlignment="1">
      <alignment horizontal="center"/>
    </xf>
    <xf numFmtId="0" fontId="1" fillId="5" borderId="0" xfId="0" applyFont="1" applyFill="1" applyAlignment="1">
      <alignment horizontal="center"/>
    </xf>
    <xf numFmtId="166" fontId="6" fillId="5" borderId="0" xfId="0" applyNumberFormat="1" applyFont="1" applyFill="1" applyAlignment="1">
      <alignment horizontal="center"/>
    </xf>
    <xf numFmtId="0" fontId="8" fillId="5" borderId="0" xfId="0" applyFont="1" applyFill="1" applyAlignment="1">
      <alignment horizontal="center"/>
    </xf>
    <xf numFmtId="0" fontId="9" fillId="5" borderId="0" xfId="0" applyFont="1" applyFill="1" applyAlignment="1">
      <alignment horizontal="center"/>
    </xf>
    <xf numFmtId="0" fontId="13" fillId="2" borderId="0" xfId="0" applyFont="1" applyFill="1" applyAlignment="1">
      <alignment horizontal="center" vertical="top" wrapText="1"/>
    </xf>
    <xf numFmtId="0" fontId="13" fillId="2" borderId="0" xfId="0" applyFont="1" applyFill="1" applyAlignment="1">
      <alignment horizontal="center" vertical="top"/>
    </xf>
    <xf numFmtId="0" fontId="5" fillId="2" borderId="0" xfId="0" applyFont="1" applyFill="1" applyAlignment="1">
      <alignment horizontal="center" vertical="top" wrapText="1"/>
    </xf>
    <xf numFmtId="0" fontId="5" fillId="2" borderId="0" xfId="0" applyFont="1" applyFill="1" applyAlignment="1">
      <alignment horizontal="center" vertical="top"/>
    </xf>
    <xf numFmtId="0" fontId="2" fillId="2" borderId="12" xfId="0" applyFont="1" applyFill="1" applyBorder="1" applyAlignment="1">
      <alignment horizontal="center" vertical="center" wrapText="1"/>
    </xf>
    <xf numFmtId="0" fontId="0" fillId="4" borderId="12" xfId="0" applyFont="1" applyFill="1" applyBorder="1" applyAlignment="1">
      <alignment vertical="center" wrapText="1"/>
    </xf>
    <xf numFmtId="0" fontId="0" fillId="0" borderId="12" xfId="0" applyFont="1" applyBorder="1" applyAlignment="1">
      <alignment vertical="center" wrapText="1"/>
    </xf>
    <xf numFmtId="0" fontId="3" fillId="0" borderId="0" xfId="0" applyFont="1" applyAlignment="1">
      <alignment horizontal="right" vertical="center" wrapText="1"/>
    </xf>
    <xf numFmtId="10" fontId="0" fillId="0" borderId="0" xfId="0" applyNumberFormat="1" applyAlignment="1">
      <alignment horizontal="right" vertical="center" wrapText="1"/>
    </xf>
    <xf numFmtId="10" fontId="0" fillId="0" borderId="0" xfId="0" applyNumberFormat="1" applyAlignment="1">
      <alignment horizontal="center"/>
    </xf>
  </cellXfs>
  <cellStyles count="2">
    <cellStyle name="Hyperlink" xfId="1" builtinId="8"/>
    <cellStyle name="Normal" xfId="0" builtinId="0"/>
  </cellStyles>
  <dxfs count="127">
    <dxf>
      <numFmt numFmtId="164" formatCode="&quot;£&quot;#,##0"/>
    </dxf>
    <dxf>
      <numFmt numFmtId="164" formatCode="&quot;£&quot;#,##0"/>
    </dxf>
    <dxf>
      <numFmt numFmtId="164" formatCode="&quot;£&quot;#,##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font>
        <color theme="1"/>
      </font>
      <fill>
        <patternFill>
          <bgColor rgb="FFFF0000"/>
        </patternFill>
      </fill>
    </dxf>
    <dxf>
      <font>
        <color theme="5"/>
      </font>
      <fill>
        <patternFill>
          <bgColor theme="5" tint="0.79998168889431442"/>
        </patternFill>
      </fill>
    </dxf>
    <dxf>
      <font>
        <color theme="9" tint="-0.499984740745262"/>
      </font>
      <fill>
        <patternFill>
          <bgColor theme="9" tint="0.59996337778862885"/>
        </patternFill>
      </fill>
    </dxf>
    <dxf>
      <font>
        <b/>
        <i val="0"/>
        <color theme="9" tint="-0.499984740745262"/>
      </font>
      <numFmt numFmtId="0" formatCode="General"/>
      <fill>
        <patternFill>
          <bgColor theme="9" tint="0.39994506668294322"/>
        </patternFill>
      </fill>
    </dxf>
    <dxf>
      <font>
        <color theme="5" tint="-0.499984740745262"/>
      </font>
      <fill>
        <patternFill>
          <bgColor theme="5" tint="0.59996337778862885"/>
        </patternFill>
      </fill>
    </dxf>
    <dxf>
      <font>
        <color rgb="FFC00000"/>
      </font>
      <fill>
        <patternFill>
          <bgColor theme="5"/>
        </patternFill>
      </fill>
    </dxf>
    <dxf>
      <font>
        <b/>
        <i val="0"/>
        <color theme="9" tint="-0.499984740745262"/>
      </font>
      <numFmt numFmtId="0" formatCode="General"/>
      <fill>
        <patternFill>
          <bgColor theme="9" tint="0.39994506668294322"/>
        </patternFill>
      </fill>
    </dxf>
    <dxf>
      <font>
        <color theme="5" tint="-0.499984740745262"/>
      </font>
      <fill>
        <patternFill>
          <bgColor theme="5" tint="0.59996337778862885"/>
        </patternFill>
      </fill>
    </dxf>
    <dxf>
      <font>
        <color rgb="FFC00000"/>
      </font>
      <fill>
        <patternFill>
          <bgColor theme="5"/>
        </patternFill>
      </fill>
    </dxf>
    <dxf>
      <fill>
        <patternFill>
          <bgColor rgb="FFC00000"/>
        </patternFill>
      </fill>
    </dxf>
    <dxf>
      <fill>
        <patternFill>
          <bgColor theme="7" tint="-0.24994659260841701"/>
        </patternFill>
      </fill>
    </dxf>
    <dxf>
      <fill>
        <patternFill>
          <bgColor theme="7" tint="0.39994506668294322"/>
        </patternFill>
      </fill>
    </dxf>
    <dxf>
      <fill>
        <patternFill>
          <bgColor theme="9" tint="0.39994506668294322"/>
        </patternFill>
      </fill>
    </dxf>
    <dxf>
      <fill>
        <patternFill>
          <bgColor theme="9" tint="0.59996337778862885"/>
        </patternFill>
      </fill>
    </dxf>
    <dxf>
      <fill>
        <patternFill>
          <bgColor rgb="FFFF0000"/>
        </patternFill>
      </fill>
    </dxf>
    <dxf>
      <fill>
        <patternFill>
          <bgColor rgb="FFFFC000"/>
        </patternFill>
      </fill>
    </dxf>
    <dxf>
      <numFmt numFmtId="0" formatCode="General"/>
    </dxf>
    <dxf>
      <numFmt numFmtId="14" formatCode="0.0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general" vertical="center" textRotation="0" wrapText="1" indent="0" justifyLastLine="0" shrinkToFit="0" readingOrder="0"/>
      <border diagonalUp="0" diagonalDown="0">
        <left/>
        <right/>
        <top style="thin">
          <color theme="5" tint="0.39997558519241921"/>
        </top>
        <bottom style="thin">
          <color theme="5" tint="0.39997558519241921"/>
        </bottom>
        <vertical/>
        <horizontal/>
      </border>
    </dxf>
    <dxf>
      <numFmt numFmtId="0" formatCode="General"/>
    </dxf>
    <dxf>
      <numFmt numFmtId="14" formatCode="0.00%"/>
    </dxf>
    <dxf>
      <numFmt numFmtId="167" formatCode="&quot;£&quot;0.00,,&quot;M&quot;"/>
    </dxf>
    <dxf>
      <numFmt numFmtId="169" formatCode="&quot;£&quot;#,##0.00"/>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general" vertical="center" textRotation="0" wrapText="1" indent="0" justifyLastLine="0" shrinkToFit="0" readingOrder="0"/>
      <border diagonalUp="0" diagonalDown="0">
        <left style="thin">
          <color theme="5" tint="0.39997558519241921"/>
        </left>
        <right/>
        <top style="thin">
          <color theme="5" tint="0.39997558519241921"/>
        </top>
        <bottom style="thin">
          <color theme="5" tint="0.39997558519241921"/>
        </bottom>
        <vertical/>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64" formatCode="&quot;£&quot;#,##0"/>
    </dxf>
    <dxf>
      <numFmt numFmtId="164" formatCode="&quot;£&quot;#,##0"/>
    </dxf>
    <dxf>
      <numFmt numFmtId="0" formatCode="General"/>
    </dxf>
    <dxf>
      <numFmt numFmtId="165" formatCode="0.0%"/>
    </dxf>
    <dxf>
      <numFmt numFmtId="165" formatCode="0.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alignment horizontal="center" vertical="bottom" textRotation="0" wrapText="0" indent="0" justifyLastLine="0" shrinkToFit="0" readingOrder="0"/>
    </dxf>
    <dxf>
      <numFmt numFmtId="0" formatCode="General"/>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general" vertical="center" textRotation="0" wrapText="1" indent="0" justifyLastLine="0" shrinkToFit="0" readingOrder="0"/>
      <border diagonalUp="0" diagonalDown="0" outline="0">
        <left style="thin">
          <color theme="5" tint="0.39997558519241921"/>
        </left>
        <right/>
        <top/>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general" vertical="center" textRotation="0" wrapText="1" indent="0" justifyLastLine="0" shrinkToFit="0" readingOrder="0"/>
      <border diagonalUp="0" diagonalDown="0" outline="0">
        <left style="thin">
          <color theme="5" tint="0.39997558519241921"/>
        </left>
        <right/>
        <top style="thin">
          <color theme="5" tint="0.39997558519241921"/>
        </top>
        <bottom style="thin">
          <color theme="5" tint="0.39997558519241921"/>
        </bottom>
      </border>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general" vertical="center" textRotation="0" wrapText="1" indent="0" justifyLastLine="0" shrinkToFit="0" readingOrder="0"/>
      <border diagonalUp="0" diagonalDown="0" outline="0">
        <left style="thin">
          <color theme="5" tint="0.39997558519241921"/>
        </left>
        <right/>
        <top/>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general" vertical="center" textRotation="0" wrapText="1" indent="0" justifyLastLine="0" shrinkToFit="0" readingOrder="0"/>
      <border diagonalUp="0" diagonalDown="0">
        <left style="thin">
          <color theme="5" tint="0.39997558519241921"/>
        </left>
        <right/>
        <top style="thin">
          <color theme="5" tint="0.39997558519241921"/>
        </top>
        <bottom style="thin">
          <color theme="5" tint="0.39997558519241921"/>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center" textRotation="0" wrapText="1" indent="0" justifyLastLine="0" shrinkToFit="0" readingOrder="0"/>
    </dxf>
    <dxf>
      <numFmt numFmtId="165" formatCode="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alignment horizontal="right" vertical="center" textRotation="0" wrapText="1" indent="0" justifyLastLine="0" shrinkToFit="0" readingOrder="0"/>
    </dxf>
    <dxf>
      <numFmt numFmtId="164" formatCode="&quot;£&quot;#,##0"/>
      <alignment horizontal="right" vertical="center" textRotation="0" wrapText="1" indent="0" justifyLastLine="0" shrinkToFit="0" readingOrder="0"/>
    </dxf>
    <dxf>
      <alignment horizontal="right" vertical="center" textRotation="0" wrapText="1" indent="0" justifyLastLine="0" shrinkToFit="0" readingOrder="0"/>
    </dxf>
    <dxf>
      <numFmt numFmtId="164" formatCode="&quot;£&quot;#,##0"/>
      <alignment horizontal="right" vertical="center" textRotation="0" wrapText="1" indent="0" justifyLastLine="0" shrinkToFit="0" readingOrder="0"/>
    </dxf>
    <dxf>
      <alignment horizontal="right" vertical="center" textRotation="0" wrapText="1" indent="0" justifyLastLine="0" shrinkToFit="0" readingOrder="0"/>
    </dxf>
    <dxf>
      <numFmt numFmtId="13" formatCode="0%"/>
      <alignment horizontal="right" vertical="center" textRotation="0" wrapText="1" indent="0" justifyLastLine="0" shrinkToFit="0" readingOrder="0"/>
    </dxf>
    <dxf>
      <alignment horizontal="right" vertical="center" textRotation="0" wrapText="1" indent="0" justifyLastLine="0" shrinkToFit="0" readingOrder="0"/>
    </dxf>
    <dxf>
      <numFmt numFmtId="164" formatCode="&quot;£&quot;#,##0"/>
      <alignment horizontal="right" vertical="center" textRotation="0" wrapText="1" indent="0" justifyLastLine="0" shrinkToFit="0" readingOrder="0"/>
    </dxf>
    <dxf>
      <alignment horizontal="right" vertical="center" textRotation="0" wrapText="1" indent="0" justifyLastLine="0" shrinkToFit="0" readingOrder="0"/>
    </dxf>
    <dxf>
      <numFmt numFmtId="164" formatCode="&quot;£&quot;#,##0"/>
      <alignment horizontal="right" vertical="center" textRotation="0" wrapText="1" indent="0" justifyLastLine="0" shrinkToFit="0" readingOrder="0"/>
    </dxf>
    <dxf>
      <alignment horizontal="right" vertical="center" textRotation="0" wrapText="1" indent="0" justifyLastLine="0" shrinkToFit="0" readingOrder="0"/>
    </dxf>
    <dxf>
      <numFmt numFmtId="164" formatCode="&quot;£&quot;#,##0"/>
      <alignment horizontal="right"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right" vertical="center" textRotation="0" wrapText="1" indent="0" justifyLastLine="0" shrinkToFit="0" readingOrder="0"/>
    </dxf>
    <dxf>
      <numFmt numFmtId="22" formatCode="mmm\-yy"/>
    </dxf>
    <dxf>
      <numFmt numFmtId="164" formatCode="&quot;£&quot;#,##0"/>
      <alignment horizontal="right" vertical="center" textRotation="0" wrapText="1" indent="0" justifyLastLine="0" shrinkToFit="0" readingOrder="0"/>
    </dxf>
    <dxf>
      <numFmt numFmtId="164" formatCode="&quot;£&quot;#,##0"/>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center" textRotation="0" wrapText="1" indent="0" justifyLastLine="0" shrinkToFit="0" readingOrder="0"/>
    </dxf>
    <dxf>
      <numFmt numFmtId="30" formatCode="@"/>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center" vertical="bottom" textRotation="0" wrapText="0" indent="0" justifyLastLine="0" shrinkToFit="0" readingOrder="0"/>
    </dxf>
    <dxf>
      <numFmt numFmtId="164" formatCode="&quot;£&quot;#,##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30" formatCode="@"/>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center" textRotation="0" wrapText="1" indent="0" justifyLastLine="0" shrinkToFit="0" readingOrder="0"/>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right" vertical="center" textRotation="0" wrapText="1" indent="0" justifyLastLine="0" shrinkToFit="0" readingOrder="0"/>
    </dxf>
    <dxf>
      <numFmt numFmtId="164" formatCode="&quot;£&quot;#,##0"/>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4" tint="-0.249977111117893"/>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[Civil_Engineering_Project_Cost_Control1.xlsx]Pivot_Analysis!PivotTable1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Monthly Actual Spend by Project</a:t>
            </a:r>
          </a:p>
        </c:rich>
      </c:tx>
      <c:layout>
        <c:manualLayout>
          <c:xMode val="edge"/>
          <c:yMode val="edge"/>
          <c:x val="0.17893744531933509"/>
          <c:y val="1.74978127734033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Pivot_Analysis!$B$3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Pivot_Analysis!$A$4:$A$9</c:f>
              <c:strCache>
                <c:ptCount val="5"/>
                <c:pt idx="0">
                  <c:v>01-Apr</c:v>
                </c:pt>
                <c:pt idx="1">
                  <c:v>01-Mar</c:v>
                </c:pt>
                <c:pt idx="2">
                  <c:v>01-May</c:v>
                </c:pt>
                <c:pt idx="3">
                  <c:v>01-Feb</c:v>
                </c:pt>
                <c:pt idx="4">
                  <c:v>01-Jan</c:v>
                </c:pt>
              </c:strCache>
            </c:strRef>
          </c:cat>
          <c:val>
            <c:numRef>
              <c:f>Pivot_Analysis!$B$4:$B$9</c:f>
              <c:numCache>
                <c:formatCode>"£"#,##0</c:formatCode>
                <c:ptCount val="5"/>
                <c:pt idx="0">
                  <c:v>883000</c:v>
                </c:pt>
                <c:pt idx="1">
                  <c:v>844000</c:v>
                </c:pt>
                <c:pt idx="2">
                  <c:v>574000</c:v>
                </c:pt>
                <c:pt idx="3">
                  <c:v>411000</c:v>
                </c:pt>
                <c:pt idx="4">
                  <c:v>329000</c:v>
                </c:pt>
              </c:numCache>
            </c:numRef>
          </c:val>
          <c:smooth val="0"/>
          <c:extLst>
            <c:ext xmlns:c16="http://schemas.microsoft.com/office/drawing/2014/chart" uri="{C3380CC4-5D6E-409C-BE32-E72D297353CC}">
              <c16:uniqueId val="{00000000-7949-4FE0-90E2-63D5D448DD66}"/>
            </c:ext>
          </c:extLst>
        </c:ser>
        <c:dLbls>
          <c:showLegendKey val="0"/>
          <c:showVal val="0"/>
          <c:showCatName val="0"/>
          <c:showSerName val="0"/>
          <c:showPercent val="0"/>
          <c:showBubbleSize val="0"/>
        </c:dLbls>
        <c:marker val="1"/>
        <c:smooth val="0"/>
        <c:axId val="338650536"/>
        <c:axId val="338651848"/>
      </c:lineChart>
      <c:catAx>
        <c:axId val="338650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51848"/>
        <c:crosses val="autoZero"/>
        <c:auto val="1"/>
        <c:lblAlgn val="ctr"/>
        <c:lblOffset val="100"/>
        <c:noMultiLvlLbl val="0"/>
      </c:catAx>
      <c:valAx>
        <c:axId val="338651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50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[Civil_Engineering_Project_Cost_Control1.xlsx]Pivot_Analysis!PivotTable2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Actual Spend By Cost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Pivot_Analysis!$B$15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Pivot_Analysis!$A$16:$A$22</c:f>
              <c:strCache>
                <c:ptCount val="6"/>
                <c:pt idx="0">
                  <c:v>Materials</c:v>
                </c:pt>
                <c:pt idx="1">
                  <c:v>Labour</c:v>
                </c:pt>
                <c:pt idx="2">
                  <c:v>Subcontractors</c:v>
                </c:pt>
                <c:pt idx="3">
                  <c:v>Plant Hire</c:v>
                </c:pt>
                <c:pt idx="4">
                  <c:v>Fuel &amp; Transport</c:v>
                </c:pt>
                <c:pt idx="5">
                  <c:v>Site Overheads</c:v>
                </c:pt>
              </c:strCache>
            </c:strRef>
          </c:cat>
          <c:val>
            <c:numRef>
              <c:f>Pivot_Analysis!$B$16:$B$22</c:f>
              <c:numCache>
                <c:formatCode>"£"#,##0</c:formatCode>
                <c:ptCount val="6"/>
                <c:pt idx="0">
                  <c:v>1233000</c:v>
                </c:pt>
                <c:pt idx="1">
                  <c:v>725000</c:v>
                </c:pt>
                <c:pt idx="2">
                  <c:v>543000</c:v>
                </c:pt>
                <c:pt idx="3">
                  <c:v>392000</c:v>
                </c:pt>
                <c:pt idx="4">
                  <c:v>100000</c:v>
                </c:pt>
                <c:pt idx="5">
                  <c:v>48000</c:v>
                </c:pt>
              </c:numCache>
            </c:numRef>
          </c:val>
          <c:extLst>
            <c:ext xmlns:c16="http://schemas.microsoft.com/office/drawing/2014/chart" uri="{C3380CC4-5D6E-409C-BE32-E72D297353CC}">
              <c16:uniqueId val="{00000000-4BFB-4CBD-A548-E4FD7DA93130}"/>
            </c:ext>
          </c:extLst>
        </c:ser>
        <c:dLbls>
          <c:showLegendKey val="0"/>
          <c:showVal val="0"/>
          <c:showCatName val="0"/>
          <c:showSerName val="0"/>
          <c:showPercent val="0"/>
          <c:showBubbleSize val="0"/>
        </c:dLbls>
        <c:gapWidth val="100"/>
        <c:overlap val="-24"/>
        <c:axId val="581012792"/>
        <c:axId val="581014432"/>
      </c:barChart>
      <c:catAx>
        <c:axId val="581012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014432"/>
        <c:crosses val="autoZero"/>
        <c:auto val="1"/>
        <c:lblAlgn val="ctr"/>
        <c:lblOffset val="100"/>
        <c:noMultiLvlLbl val="0"/>
      </c:catAx>
      <c:valAx>
        <c:axId val="581014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012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[Civil_Engineering_Project_Cost_Control1.xlsx]Pivot_Analysis!PivotTable3</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Pivot_Analysis!$A$27:$A$32</c:f>
              <c:strCache>
                <c:ptCount val="5"/>
                <c:pt idx="0">
                  <c:v>Track Materials UK</c:v>
                </c:pt>
                <c:pt idx="1">
                  <c:v>Midland Steel Ltd</c:v>
                </c:pt>
                <c:pt idx="2">
                  <c:v>Asphalt Direct</c:v>
                </c:pt>
                <c:pt idx="3">
                  <c:v>RoadStone Materials</c:v>
                </c:pt>
                <c:pt idx="4">
                  <c:v>BuildForce Labour</c:v>
                </c:pt>
              </c:strCache>
            </c:strRef>
          </c:cat>
          <c:val>
            <c:numRef>
              <c:f>Pivot_Analysis!$B$27:$B$32</c:f>
              <c:numCache>
                <c:formatCode>"£"#,##0</c:formatCode>
                <c:ptCount val="5"/>
                <c:pt idx="0">
                  <c:v>172000</c:v>
                </c:pt>
                <c:pt idx="1">
                  <c:v>185000</c:v>
                </c:pt>
                <c:pt idx="2">
                  <c:v>194000</c:v>
                </c:pt>
                <c:pt idx="3">
                  <c:v>265000</c:v>
                </c:pt>
                <c:pt idx="4">
                  <c:v>283000</c:v>
                </c:pt>
              </c:numCache>
            </c:numRef>
          </c:val>
          <c:extLst>
            <c:ext xmlns:c16="http://schemas.microsoft.com/office/drawing/2014/chart" uri="{C3380CC4-5D6E-409C-BE32-E72D297353CC}">
              <c16:uniqueId val="{00000000-8252-4E97-920D-8FEF14C25301}"/>
            </c:ext>
          </c:extLst>
        </c:ser>
        <c:dLbls>
          <c:dLblPos val="inEnd"/>
          <c:showLegendKey val="0"/>
          <c:showVal val="1"/>
          <c:showCatName val="0"/>
          <c:showSerName val="0"/>
          <c:showPercent val="0"/>
          <c:showBubbleSize val="0"/>
        </c:dLbls>
        <c:gapWidth val="65"/>
        <c:axId val="671078176"/>
        <c:axId val="671073584"/>
      </c:barChart>
      <c:catAx>
        <c:axId val="6710781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1073584"/>
        <c:crosses val="autoZero"/>
        <c:auto val="1"/>
        <c:lblAlgn val="ctr"/>
        <c:lblOffset val="100"/>
        <c:noMultiLvlLbl val="0"/>
      </c:catAx>
      <c:valAx>
        <c:axId val="6710735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7107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[Civil_Engineering_Project_Cost_Control1.xlsx]Pivot_Analysis!PivotTable1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latin typeface="Segoe UI" panose="020B0502040204020203" pitchFamily="34" charset="0"/>
                <a:cs typeface="Segoe UI" panose="020B0502040204020203" pitchFamily="34" charset="0"/>
              </a:rPr>
              <a:t>Monthly Actual Spend by Project</a:t>
            </a:r>
          </a:p>
        </c:rich>
      </c:tx>
      <c:layout>
        <c:manualLayout>
          <c:xMode val="edge"/>
          <c:yMode val="edge"/>
          <c:x val="0.17893744531933509"/>
          <c:y val="1.74978127734033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Pivot_Analysis!$B$3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Pivot_Analysis!$A$4:$A$9</c:f>
              <c:strCache>
                <c:ptCount val="5"/>
                <c:pt idx="0">
                  <c:v>01-Apr</c:v>
                </c:pt>
                <c:pt idx="1">
                  <c:v>01-Mar</c:v>
                </c:pt>
                <c:pt idx="2">
                  <c:v>01-May</c:v>
                </c:pt>
                <c:pt idx="3">
                  <c:v>01-Feb</c:v>
                </c:pt>
                <c:pt idx="4">
                  <c:v>01-Jan</c:v>
                </c:pt>
              </c:strCache>
            </c:strRef>
          </c:cat>
          <c:val>
            <c:numRef>
              <c:f>Pivot_Analysis!$B$4:$B$9</c:f>
              <c:numCache>
                <c:formatCode>"£"#,##0</c:formatCode>
                <c:ptCount val="5"/>
                <c:pt idx="0">
                  <c:v>883000</c:v>
                </c:pt>
                <c:pt idx="1">
                  <c:v>844000</c:v>
                </c:pt>
                <c:pt idx="2">
                  <c:v>574000</c:v>
                </c:pt>
                <c:pt idx="3">
                  <c:v>411000</c:v>
                </c:pt>
                <c:pt idx="4">
                  <c:v>329000</c:v>
                </c:pt>
              </c:numCache>
            </c:numRef>
          </c:val>
          <c:smooth val="0"/>
          <c:extLst>
            <c:ext xmlns:c16="http://schemas.microsoft.com/office/drawing/2014/chart" uri="{C3380CC4-5D6E-409C-BE32-E72D297353CC}">
              <c16:uniqueId val="{00000000-C2D4-4943-B0D9-3425174A2F50}"/>
            </c:ext>
          </c:extLst>
        </c:ser>
        <c:dLbls>
          <c:showLegendKey val="0"/>
          <c:showVal val="0"/>
          <c:showCatName val="0"/>
          <c:showSerName val="0"/>
          <c:showPercent val="0"/>
          <c:showBubbleSize val="0"/>
        </c:dLbls>
        <c:marker val="1"/>
        <c:smooth val="0"/>
        <c:axId val="338650536"/>
        <c:axId val="338651848"/>
      </c:lineChart>
      <c:catAx>
        <c:axId val="338650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51848"/>
        <c:crosses val="autoZero"/>
        <c:auto val="1"/>
        <c:lblAlgn val="ctr"/>
        <c:lblOffset val="100"/>
        <c:noMultiLvlLbl val="0"/>
      </c:catAx>
      <c:valAx>
        <c:axId val="338651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50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[Civil_Engineering_Project_Cost_Control1.xlsx]Pivot_Analysis!PivotTable2</c:name>
    <c:fmtId val="4"/>
  </c:pivotSource>
  <c:chart>
    <c:title>
      <c:tx>
        <c:rich>
          <a:bodyPr rot="0" spcFirstLastPara="1" vertOverflow="ellipsis" vert="horz" wrap="square" anchor="ctr" anchorCtr="1"/>
          <a:lstStyle/>
          <a:p>
            <a:pPr algn="ctr" rtl="0">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r>
              <a: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rPr>
              <a:t>Actual Spend By Cost Category</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Pivot_Analysis!$B$15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Pivot_Analysis!$A$16:$A$22</c:f>
              <c:strCache>
                <c:ptCount val="6"/>
                <c:pt idx="0">
                  <c:v>Materials</c:v>
                </c:pt>
                <c:pt idx="1">
                  <c:v>Labour</c:v>
                </c:pt>
                <c:pt idx="2">
                  <c:v>Subcontractors</c:v>
                </c:pt>
                <c:pt idx="3">
                  <c:v>Plant Hire</c:v>
                </c:pt>
                <c:pt idx="4">
                  <c:v>Fuel &amp; Transport</c:v>
                </c:pt>
                <c:pt idx="5">
                  <c:v>Site Overheads</c:v>
                </c:pt>
              </c:strCache>
            </c:strRef>
          </c:cat>
          <c:val>
            <c:numRef>
              <c:f>Pivot_Analysis!$B$16:$B$22</c:f>
              <c:numCache>
                <c:formatCode>"£"#,##0</c:formatCode>
                <c:ptCount val="6"/>
                <c:pt idx="0">
                  <c:v>1233000</c:v>
                </c:pt>
                <c:pt idx="1">
                  <c:v>725000</c:v>
                </c:pt>
                <c:pt idx="2">
                  <c:v>543000</c:v>
                </c:pt>
                <c:pt idx="3">
                  <c:v>392000</c:v>
                </c:pt>
                <c:pt idx="4">
                  <c:v>100000</c:v>
                </c:pt>
                <c:pt idx="5">
                  <c:v>48000</c:v>
                </c:pt>
              </c:numCache>
            </c:numRef>
          </c:val>
          <c:extLst>
            <c:ext xmlns:c16="http://schemas.microsoft.com/office/drawing/2014/chart" uri="{C3380CC4-5D6E-409C-BE32-E72D297353CC}">
              <c16:uniqueId val="{00000000-D371-4E13-A26B-16CF6B613754}"/>
            </c:ext>
          </c:extLst>
        </c:ser>
        <c:dLbls>
          <c:showLegendKey val="0"/>
          <c:showVal val="0"/>
          <c:showCatName val="0"/>
          <c:showSerName val="0"/>
          <c:showPercent val="0"/>
          <c:showBubbleSize val="0"/>
        </c:dLbls>
        <c:gapWidth val="100"/>
        <c:overlap val="-24"/>
        <c:axId val="581012792"/>
        <c:axId val="581014432"/>
      </c:barChart>
      <c:catAx>
        <c:axId val="581012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014432"/>
        <c:crosses val="autoZero"/>
        <c:auto val="1"/>
        <c:lblAlgn val="ctr"/>
        <c:lblOffset val="100"/>
        <c:noMultiLvlLbl val="0"/>
      </c:catAx>
      <c:valAx>
        <c:axId val="581014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012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[Civil_Engineering_Project_Cost_Control1.xlsx]Pivot_Analysis!PivotTable3</c:name>
    <c:fmtId val="4"/>
  </c:pivotSource>
  <c:chart>
    <c:title>
      <c:tx>
        <c:rich>
          <a:bodyPr rot="0" spcFirstLastPara="1" vertOverflow="ellipsis" vert="horz" wrap="square" anchor="ctr" anchorCtr="1"/>
          <a:lstStyle/>
          <a:p>
            <a:pPr>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r>
              <a: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rPr>
              <a:t>Top Suppliers</a:t>
            </a:r>
          </a:p>
        </c:rich>
      </c:tx>
      <c:overlay val="0"/>
      <c:spPr>
        <a:noFill/>
        <a:ln>
          <a:noFill/>
        </a:ln>
        <a:effectLst/>
      </c:spPr>
      <c:txPr>
        <a:bodyPr rot="0" spcFirstLastPara="1" vertOverflow="ellipsis" vert="horz" wrap="square" anchor="ctr" anchorCtr="1"/>
        <a:lstStyle/>
        <a:p>
          <a:pPr>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Pivot_Analysis!$A$27:$A$32</c:f>
              <c:strCache>
                <c:ptCount val="5"/>
                <c:pt idx="0">
                  <c:v>Track Materials UK</c:v>
                </c:pt>
                <c:pt idx="1">
                  <c:v>Midland Steel Ltd</c:v>
                </c:pt>
                <c:pt idx="2">
                  <c:v>Asphalt Direct</c:v>
                </c:pt>
                <c:pt idx="3">
                  <c:v>RoadStone Materials</c:v>
                </c:pt>
                <c:pt idx="4">
                  <c:v>BuildForce Labour</c:v>
                </c:pt>
              </c:strCache>
            </c:strRef>
          </c:cat>
          <c:val>
            <c:numRef>
              <c:f>Pivot_Analysis!$B$27:$B$32</c:f>
              <c:numCache>
                <c:formatCode>"£"#,##0</c:formatCode>
                <c:ptCount val="5"/>
                <c:pt idx="0">
                  <c:v>172000</c:v>
                </c:pt>
                <c:pt idx="1">
                  <c:v>185000</c:v>
                </c:pt>
                <c:pt idx="2">
                  <c:v>194000</c:v>
                </c:pt>
                <c:pt idx="3">
                  <c:v>265000</c:v>
                </c:pt>
                <c:pt idx="4">
                  <c:v>283000</c:v>
                </c:pt>
              </c:numCache>
            </c:numRef>
          </c:val>
          <c:extLst>
            <c:ext xmlns:c16="http://schemas.microsoft.com/office/drawing/2014/chart" uri="{C3380CC4-5D6E-409C-BE32-E72D297353CC}">
              <c16:uniqueId val="{00000000-5FE6-45A8-8D57-EE3CDAC8A4AD}"/>
            </c:ext>
          </c:extLst>
        </c:ser>
        <c:dLbls>
          <c:dLblPos val="inEnd"/>
          <c:showLegendKey val="0"/>
          <c:showVal val="1"/>
          <c:showCatName val="0"/>
          <c:showSerName val="0"/>
          <c:showPercent val="0"/>
          <c:showBubbleSize val="0"/>
        </c:dLbls>
        <c:gapWidth val="65"/>
        <c:axId val="671078176"/>
        <c:axId val="671073584"/>
      </c:barChart>
      <c:catAx>
        <c:axId val="6710781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1073584"/>
        <c:crosses val="autoZero"/>
        <c:auto val="1"/>
        <c:lblAlgn val="ctr"/>
        <c:lblOffset val="100"/>
        <c:noMultiLvlLbl val="0"/>
      </c:catAx>
      <c:valAx>
        <c:axId val="6710735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7107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vs Actual</a:t>
            </a:r>
            <a:r>
              <a:rPr lang="en-US"/>
              <a:t> </a:t>
            </a:r>
          </a:p>
        </c:rich>
      </c:tx>
      <c:layout>
        <c:manualLayout>
          <c:xMode val="edge"/>
          <c:yMode val="edge"/>
          <c:x val="0.4094930008748907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Dashboard_data!$C$16</c:f>
              <c:strCache>
                <c:ptCount val="1"/>
                <c:pt idx="0">
                  <c:v>Budget</c:v>
                </c:pt>
              </c:strCache>
            </c:strRef>
          </c:tx>
          <c:spPr>
            <a:solidFill>
              <a:schemeClr val="bg2">
                <a:lumMod val="90000"/>
              </a:schemeClr>
            </a:solidFill>
            <a:ln>
              <a:noFill/>
            </a:ln>
            <a:effectLst/>
          </c:spPr>
          <c:invertIfNegative val="0"/>
          <c:cat>
            <c:strRef>
              <c:f>Dashboard_data!$B$17:$B$21</c:f>
              <c:strCache>
                <c:ptCount val="5"/>
                <c:pt idx="0">
                  <c:v>Bridge Alpha</c:v>
                </c:pt>
                <c:pt idx="1">
                  <c:v>Water Main Bravo</c:v>
                </c:pt>
                <c:pt idx="2">
                  <c:v>Highway Charlie</c:v>
                </c:pt>
                <c:pt idx="3">
                  <c:v>Rail Extension Delta</c:v>
                </c:pt>
                <c:pt idx="4">
                  <c:v>Flood Defence Echo</c:v>
                </c:pt>
              </c:strCache>
            </c:strRef>
          </c:cat>
          <c:val>
            <c:numRef>
              <c:f>Dashboard_data!$C$17:$C$21</c:f>
              <c:numCache>
                <c:formatCode>"£"0.00,,"M"</c:formatCode>
                <c:ptCount val="5"/>
                <c:pt idx="0">
                  <c:v>4680000</c:v>
                </c:pt>
                <c:pt idx="1">
                  <c:v>3420000</c:v>
                </c:pt>
                <c:pt idx="2">
                  <c:v>5490000</c:v>
                </c:pt>
                <c:pt idx="3">
                  <c:v>4230000</c:v>
                </c:pt>
                <c:pt idx="4">
                  <c:v>2655000</c:v>
                </c:pt>
              </c:numCache>
            </c:numRef>
          </c:val>
          <c:extLst>
            <c:ext xmlns:c16="http://schemas.microsoft.com/office/drawing/2014/chart" uri="{C3380CC4-5D6E-409C-BE32-E72D297353CC}">
              <c16:uniqueId val="{00000000-25B5-4DCF-A366-658CA6F2D017}"/>
            </c:ext>
          </c:extLst>
        </c:ser>
        <c:ser>
          <c:idx val="1"/>
          <c:order val="1"/>
          <c:tx>
            <c:strRef>
              <c:f>Dashboard_data!$D$16</c:f>
              <c:strCache>
                <c:ptCount val="1"/>
                <c:pt idx="0">
                  <c:v>Actual</c:v>
                </c:pt>
              </c:strCache>
            </c:strRef>
          </c:tx>
          <c:spPr>
            <a:solidFill>
              <a:schemeClr val="accent1">
                <a:lumMod val="50000"/>
              </a:schemeClr>
            </a:solidFill>
            <a:ln>
              <a:noFill/>
            </a:ln>
            <a:effectLst/>
          </c:spPr>
          <c:invertIfNegative val="0"/>
          <c:cat>
            <c:strRef>
              <c:f>Dashboard_data!$B$17:$B$21</c:f>
              <c:strCache>
                <c:ptCount val="5"/>
                <c:pt idx="0">
                  <c:v>Bridge Alpha</c:v>
                </c:pt>
                <c:pt idx="1">
                  <c:v>Water Main Bravo</c:v>
                </c:pt>
                <c:pt idx="2">
                  <c:v>Highway Charlie</c:v>
                </c:pt>
                <c:pt idx="3">
                  <c:v>Rail Extension Delta</c:v>
                </c:pt>
                <c:pt idx="4">
                  <c:v>Flood Defence Echo</c:v>
                </c:pt>
              </c:strCache>
            </c:strRef>
          </c:cat>
          <c:val>
            <c:numRef>
              <c:f>Dashboard_data!$D$17:$D$21</c:f>
              <c:numCache>
                <c:formatCode>"£"0.00,,"M"</c:formatCode>
                <c:ptCount val="5"/>
                <c:pt idx="0">
                  <c:v>861000</c:v>
                </c:pt>
                <c:pt idx="1">
                  <c:v>504000</c:v>
                </c:pt>
                <c:pt idx="2">
                  <c:v>877000</c:v>
                </c:pt>
                <c:pt idx="3">
                  <c:v>459000</c:v>
                </c:pt>
                <c:pt idx="4">
                  <c:v>340000</c:v>
                </c:pt>
              </c:numCache>
            </c:numRef>
          </c:val>
          <c:extLst>
            <c:ext xmlns:c16="http://schemas.microsoft.com/office/drawing/2014/chart" uri="{C3380CC4-5D6E-409C-BE32-E72D297353CC}">
              <c16:uniqueId val="{00000001-25B5-4DCF-A366-658CA6F2D017}"/>
            </c:ext>
          </c:extLst>
        </c:ser>
        <c:dLbls>
          <c:showLegendKey val="0"/>
          <c:showVal val="0"/>
          <c:showCatName val="0"/>
          <c:showSerName val="0"/>
          <c:showPercent val="0"/>
          <c:showBubbleSize val="0"/>
        </c:dLbls>
        <c:gapWidth val="33"/>
        <c:overlap val="-4"/>
        <c:axId val="481470640"/>
        <c:axId val="505207528"/>
      </c:barChart>
      <c:catAx>
        <c:axId val="48147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07528"/>
        <c:crosses val="autoZero"/>
        <c:auto val="1"/>
        <c:lblAlgn val="ctr"/>
        <c:lblOffset val="100"/>
        <c:noMultiLvlLbl val="0"/>
      </c:catAx>
      <c:valAx>
        <c:axId val="505207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470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7</xdr:col>
      <xdr:colOff>584200</xdr:colOff>
      <xdr:row>2</xdr:row>
      <xdr:rowOff>12700</xdr:rowOff>
    </xdr:from>
    <xdr:to>
      <xdr:col>10</xdr:col>
      <xdr:colOff>361950</xdr:colOff>
      <xdr:row>11</xdr:row>
      <xdr:rowOff>69850</xdr:rowOff>
    </xdr:to>
    <mc:AlternateContent xmlns:mc="http://schemas.openxmlformats.org/markup-compatibility/2006" xmlns:a14="http://schemas.microsoft.com/office/drawing/2010/main">
      <mc:Choice Requires="a14">
        <xdr:graphicFrame macro="">
          <xdr:nvGraphicFramePr>
            <xdr:cNvPr id="4" name="Project Name">
              <a:extLst>
                <a:ext uri="{FF2B5EF4-FFF2-40B4-BE49-F238E27FC236}">
                  <a16:creationId xmlns:a16="http://schemas.microsoft.com/office/drawing/2014/main" id="{E103A3FF-54BD-46E6-8881-025988C2885B}"/>
                </a:ext>
              </a:extLst>
            </xdr:cNvPr>
            <xdr:cNvGraphicFramePr/>
          </xdr:nvGraphicFramePr>
          <xdr:xfrm>
            <a:off x="0" y="0"/>
            <a:ext cx="0" cy="0"/>
          </xdr:xfrm>
          <a:graphic>
            <a:graphicData uri="http://schemas.microsoft.com/office/drawing/2010/slicer">
              <sle:slicer xmlns:sle="http://schemas.microsoft.com/office/drawing/2010/slicer" name="Project Name"/>
            </a:graphicData>
          </a:graphic>
        </xdr:graphicFrame>
      </mc:Choice>
      <mc:Fallback xmlns="">
        <xdr:sp macro="" textlink="">
          <xdr:nvSpPr>
            <xdr:cNvPr id="0" name=""/>
            <xdr:cNvSpPr>
              <a:spLocks noTextEdit="1"/>
            </xdr:cNvSpPr>
          </xdr:nvSpPr>
          <xdr:spPr>
            <a:xfrm>
              <a:off x="8489950" y="381000"/>
              <a:ext cx="1606550" cy="1714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3</xdr:row>
      <xdr:rowOff>25400</xdr:rowOff>
    </xdr:from>
    <xdr:to>
      <xdr:col>12</xdr:col>
      <xdr:colOff>12700</xdr:colOff>
      <xdr:row>5</xdr:row>
      <xdr:rowOff>12700</xdr:rowOff>
    </xdr:to>
    <mc:AlternateContent xmlns:mc="http://schemas.openxmlformats.org/markup-compatibility/2006" xmlns:a14="http://schemas.microsoft.com/office/drawing/2010/main">
      <mc:Choice Requires="a14">
        <xdr:graphicFrame macro="">
          <xdr:nvGraphicFramePr>
            <xdr:cNvPr id="3" name="Project Name 1">
              <a:extLst>
                <a:ext uri="{FF2B5EF4-FFF2-40B4-BE49-F238E27FC236}">
                  <a16:creationId xmlns:a16="http://schemas.microsoft.com/office/drawing/2014/main" id="{C62C61F6-9549-42C6-B877-8398F8B4E6FE}"/>
                </a:ext>
              </a:extLst>
            </xdr:cNvPr>
            <xdr:cNvGraphicFramePr/>
          </xdr:nvGraphicFramePr>
          <xdr:xfrm>
            <a:off x="0" y="0"/>
            <a:ext cx="0" cy="0"/>
          </xdr:xfrm>
          <a:graphic>
            <a:graphicData uri="http://schemas.microsoft.com/office/drawing/2010/slicer">
              <sle:slicer xmlns:sle="http://schemas.microsoft.com/office/drawing/2010/slicer" name="Project Name 1"/>
            </a:graphicData>
          </a:graphic>
        </xdr:graphicFrame>
      </mc:Choice>
      <mc:Fallback xmlns="">
        <xdr:sp macro="" textlink="">
          <xdr:nvSpPr>
            <xdr:cNvPr id="0" name=""/>
            <xdr:cNvSpPr>
              <a:spLocks noTextEdit="1"/>
            </xdr:cNvSpPr>
          </xdr:nvSpPr>
          <xdr:spPr>
            <a:xfrm>
              <a:off x="6350" y="800100"/>
              <a:ext cx="13112750" cy="628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0</xdr:rowOff>
    </xdr:from>
    <xdr:to>
      <xdr:col>6</xdr:col>
      <xdr:colOff>203200</xdr:colOff>
      <xdr:row>23</xdr:row>
      <xdr:rowOff>171450</xdr:rowOff>
    </xdr:to>
    <xdr:graphicFrame macro="">
      <xdr:nvGraphicFramePr>
        <xdr:cNvPr id="4" name="Chart 3">
          <a:extLst>
            <a:ext uri="{FF2B5EF4-FFF2-40B4-BE49-F238E27FC236}">
              <a16:creationId xmlns:a16="http://schemas.microsoft.com/office/drawing/2014/main" id="{434555B3-73A9-4696-B779-A4E998D12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209550</xdr:colOff>
      <xdr:row>7</xdr:row>
      <xdr:rowOff>6351</xdr:rowOff>
    </xdr:from>
    <xdr:to>
      <xdr:col>11</xdr:col>
      <xdr:colOff>1092199</xdr:colOff>
      <xdr:row>23</xdr:row>
      <xdr:rowOff>177801</xdr:rowOff>
    </xdr:to>
    <xdr:graphicFrame macro="">
      <xdr:nvGraphicFramePr>
        <xdr:cNvPr id="5" name="Chart 4">
          <a:extLst>
            <a:ext uri="{FF2B5EF4-FFF2-40B4-BE49-F238E27FC236}">
              <a16:creationId xmlns:a16="http://schemas.microsoft.com/office/drawing/2014/main" id="{7AA8052D-4540-4944-8ABE-4385469AB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0</xdr:row>
      <xdr:rowOff>12700</xdr:rowOff>
    </xdr:from>
    <xdr:to>
      <xdr:col>15</xdr:col>
      <xdr:colOff>0</xdr:colOff>
      <xdr:row>6</xdr:row>
      <xdr:rowOff>317500</xdr:rowOff>
    </xdr:to>
    <mc:AlternateContent xmlns:mc="http://schemas.openxmlformats.org/markup-compatibility/2006" xmlns:a14="http://schemas.microsoft.com/office/drawing/2010/main">
      <mc:Choice Requires="a14">
        <xdr:graphicFrame macro="">
          <xdr:nvGraphicFramePr>
            <xdr:cNvPr id="6" name="Cost Category">
              <a:extLst>
                <a:ext uri="{FF2B5EF4-FFF2-40B4-BE49-F238E27FC236}">
                  <a16:creationId xmlns:a16="http://schemas.microsoft.com/office/drawing/2014/main" id="{AA79F196-D8B1-4146-8ACF-858724B18CED}"/>
                </a:ext>
              </a:extLst>
            </xdr:cNvPr>
            <xdr:cNvGraphicFramePr/>
          </xdr:nvGraphicFramePr>
          <xdr:xfrm>
            <a:off x="0" y="0"/>
            <a:ext cx="0" cy="0"/>
          </xdr:xfrm>
          <a:graphic>
            <a:graphicData uri="http://schemas.microsoft.com/office/drawing/2010/slicer">
              <sle:slicer xmlns:sle="http://schemas.microsoft.com/office/drawing/2010/slicer" name="Cost Category"/>
            </a:graphicData>
          </a:graphic>
        </xdr:graphicFrame>
      </mc:Choice>
      <mc:Fallback xmlns="">
        <xdr:sp macro="" textlink="">
          <xdr:nvSpPr>
            <xdr:cNvPr id="0" name=""/>
            <xdr:cNvSpPr>
              <a:spLocks noTextEdit="1"/>
            </xdr:cNvSpPr>
          </xdr:nvSpPr>
          <xdr:spPr>
            <a:xfrm>
              <a:off x="13106400" y="12700"/>
              <a:ext cx="1828800" cy="1987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27</xdr:row>
      <xdr:rowOff>0</xdr:rowOff>
    </xdr:from>
    <xdr:to>
      <xdr:col>6</xdr:col>
      <xdr:colOff>241300</xdr:colOff>
      <xdr:row>42</xdr:row>
      <xdr:rowOff>152400</xdr:rowOff>
    </xdr:to>
    <xdr:graphicFrame macro="">
      <xdr:nvGraphicFramePr>
        <xdr:cNvPr id="7" name="Chart 6">
          <a:extLst>
            <a:ext uri="{FF2B5EF4-FFF2-40B4-BE49-F238E27FC236}">
              <a16:creationId xmlns:a16="http://schemas.microsoft.com/office/drawing/2014/main" id="{351A8960-2B46-49A0-AF4F-15A7AD91C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984250</xdr:colOff>
      <xdr:row>1</xdr:row>
      <xdr:rowOff>0</xdr:rowOff>
    </xdr:from>
    <xdr:to>
      <xdr:col>16</xdr:col>
      <xdr:colOff>850900</xdr:colOff>
      <xdr:row>13</xdr:row>
      <xdr:rowOff>266700</xdr:rowOff>
    </xdr:to>
    <xdr:sp macro="" textlink="">
      <xdr:nvSpPr>
        <xdr:cNvPr id="2" name="Rectangle: Rounded Corners 1">
          <a:extLst>
            <a:ext uri="{FF2B5EF4-FFF2-40B4-BE49-F238E27FC236}">
              <a16:creationId xmlns:a16="http://schemas.microsoft.com/office/drawing/2014/main" id="{7AC82C1D-133A-4D2F-9165-42C70F3BEC15}"/>
            </a:ext>
          </a:extLst>
        </xdr:cNvPr>
        <xdr:cNvSpPr/>
      </xdr:nvSpPr>
      <xdr:spPr>
        <a:xfrm>
          <a:off x="12484100" y="152400"/>
          <a:ext cx="3536950" cy="3441700"/>
        </a:xfrm>
        <a:prstGeom prst="roundRect">
          <a:avLst/>
        </a:prstGeom>
        <a:solidFill>
          <a:schemeClr val="bg2"/>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GB" sz="2000" b="1">
              <a:solidFill>
                <a:schemeClr val="tx1"/>
              </a:solidFill>
            </a:rPr>
            <a:t>Filters</a:t>
          </a:r>
        </a:p>
      </xdr:txBody>
    </xdr:sp>
    <xdr:clientData/>
  </xdr:twoCellAnchor>
  <xdr:twoCellAnchor>
    <xdr:from>
      <xdr:col>13</xdr:col>
      <xdr:colOff>88900</xdr:colOff>
      <xdr:row>8</xdr:row>
      <xdr:rowOff>133350</xdr:rowOff>
    </xdr:from>
    <xdr:to>
      <xdr:col>16</xdr:col>
      <xdr:colOff>698500</xdr:colOff>
      <xdr:row>12</xdr:row>
      <xdr:rowOff>273050</xdr:rowOff>
    </xdr:to>
    <mc:AlternateContent xmlns:mc="http://schemas.openxmlformats.org/markup-compatibility/2006" xmlns:a14="http://schemas.microsoft.com/office/drawing/2010/main">
      <mc:Choice Requires="a14">
        <xdr:graphicFrame macro="">
          <xdr:nvGraphicFramePr>
            <xdr:cNvPr id="3" name="Cost Category 1">
              <a:extLst>
                <a:ext uri="{FF2B5EF4-FFF2-40B4-BE49-F238E27FC236}">
                  <a16:creationId xmlns:a16="http://schemas.microsoft.com/office/drawing/2014/main" id="{10C47668-4F7D-4FF2-A1CC-5CBBA59C0033}"/>
                </a:ext>
              </a:extLst>
            </xdr:cNvPr>
            <xdr:cNvGraphicFramePr/>
          </xdr:nvGraphicFramePr>
          <xdr:xfrm>
            <a:off x="0" y="0"/>
            <a:ext cx="0" cy="0"/>
          </xdr:xfrm>
          <a:graphic>
            <a:graphicData uri="http://schemas.microsoft.com/office/drawing/2010/slicer">
              <sle:slicer xmlns:sle="http://schemas.microsoft.com/office/drawing/2010/slicer" name="Cost Category 1"/>
            </a:graphicData>
          </a:graphic>
        </xdr:graphicFrame>
      </mc:Choice>
      <mc:Fallback xmlns="">
        <xdr:sp macro="" textlink="">
          <xdr:nvSpPr>
            <xdr:cNvPr id="0" name=""/>
            <xdr:cNvSpPr>
              <a:spLocks noTextEdit="1"/>
            </xdr:cNvSpPr>
          </xdr:nvSpPr>
          <xdr:spPr>
            <a:xfrm>
              <a:off x="12630150" y="2062163"/>
              <a:ext cx="3252788" cy="1250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69850</xdr:colOff>
      <xdr:row>2</xdr:row>
      <xdr:rowOff>241300</xdr:rowOff>
    </xdr:from>
    <xdr:to>
      <xdr:col>16</xdr:col>
      <xdr:colOff>717551</xdr:colOff>
      <xdr:row>8</xdr:row>
      <xdr:rowOff>44450</xdr:rowOff>
    </xdr:to>
    <mc:AlternateContent xmlns:mc="http://schemas.openxmlformats.org/markup-compatibility/2006" xmlns:a14="http://schemas.microsoft.com/office/drawing/2010/main">
      <mc:Choice Requires="a14">
        <xdr:graphicFrame macro="">
          <xdr:nvGraphicFramePr>
            <xdr:cNvPr id="4" name="Project Name 2">
              <a:extLst>
                <a:ext uri="{FF2B5EF4-FFF2-40B4-BE49-F238E27FC236}">
                  <a16:creationId xmlns:a16="http://schemas.microsoft.com/office/drawing/2014/main" id="{65B40D1B-4DF4-4277-AA05-F6FFFA754D94}"/>
                </a:ext>
              </a:extLst>
            </xdr:cNvPr>
            <xdr:cNvGraphicFramePr/>
          </xdr:nvGraphicFramePr>
          <xdr:xfrm>
            <a:off x="0" y="0"/>
            <a:ext cx="0" cy="0"/>
          </xdr:xfrm>
          <a:graphic>
            <a:graphicData uri="http://schemas.microsoft.com/office/drawing/2010/slicer">
              <sle:slicer xmlns:sle="http://schemas.microsoft.com/office/drawing/2010/slicer" name="Project Name 2"/>
            </a:graphicData>
          </a:graphic>
        </xdr:graphicFrame>
      </mc:Choice>
      <mc:Fallback xmlns="">
        <xdr:sp macro="" textlink="">
          <xdr:nvSpPr>
            <xdr:cNvPr id="0" name=""/>
            <xdr:cNvSpPr>
              <a:spLocks noTextEdit="1"/>
            </xdr:cNvSpPr>
          </xdr:nvSpPr>
          <xdr:spPr>
            <a:xfrm>
              <a:off x="12611100" y="749300"/>
              <a:ext cx="3290888" cy="12239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19050</xdr:colOff>
      <xdr:row>6</xdr:row>
      <xdr:rowOff>19050</xdr:rowOff>
    </xdr:from>
    <xdr:to>
      <xdr:col>2</xdr:col>
      <xdr:colOff>1003300</xdr:colOff>
      <xdr:row>10</xdr:row>
      <xdr:rowOff>260350</xdr:rowOff>
    </xdr:to>
    <xdr:sp macro="" textlink="">
      <xdr:nvSpPr>
        <xdr:cNvPr id="5" name="Rectangle: Rounded Corners 4">
          <a:extLst>
            <a:ext uri="{FF2B5EF4-FFF2-40B4-BE49-F238E27FC236}">
              <a16:creationId xmlns:a16="http://schemas.microsoft.com/office/drawing/2014/main" id="{256EE0D7-CABF-4D9D-93A4-2E382E6BCA1E}"/>
            </a:ext>
          </a:extLst>
        </xdr:cNvPr>
        <xdr:cNvSpPr/>
      </xdr:nvSpPr>
      <xdr:spPr>
        <a:xfrm>
          <a:off x="273050" y="1390650"/>
          <a:ext cx="2006600" cy="1358900"/>
        </a:xfrm>
        <a:prstGeom prst="roundRect">
          <a:avLst/>
        </a:prstGeom>
        <a:solidFill>
          <a:schemeClr val="bg1"/>
        </a:solidFill>
        <a:ln>
          <a:solidFill>
            <a:schemeClr val="bg2"/>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000" b="1" baseline="0">
            <a:solidFill>
              <a:schemeClr val="tx1">
                <a:lumMod val="95000"/>
                <a:lumOff val="5000"/>
              </a:schemeClr>
            </a:solidFill>
          </a:endParaRPr>
        </a:p>
      </xdr:txBody>
    </xdr:sp>
    <xdr:clientData/>
  </xdr:twoCellAnchor>
  <xdr:twoCellAnchor>
    <xdr:from>
      <xdr:col>3</xdr:col>
      <xdr:colOff>12700</xdr:colOff>
      <xdr:row>6</xdr:row>
      <xdr:rowOff>19050</xdr:rowOff>
    </xdr:from>
    <xdr:to>
      <xdr:col>4</xdr:col>
      <xdr:colOff>996950</xdr:colOff>
      <xdr:row>10</xdr:row>
      <xdr:rowOff>247650</xdr:rowOff>
    </xdr:to>
    <xdr:sp macro="" textlink="">
      <xdr:nvSpPr>
        <xdr:cNvPr id="10" name="Rectangle: Rounded Corners 9">
          <a:extLst>
            <a:ext uri="{FF2B5EF4-FFF2-40B4-BE49-F238E27FC236}">
              <a16:creationId xmlns:a16="http://schemas.microsoft.com/office/drawing/2014/main" id="{67A901A3-721D-4203-8CB5-B0E86437C85C}"/>
            </a:ext>
          </a:extLst>
        </xdr:cNvPr>
        <xdr:cNvSpPr/>
      </xdr:nvSpPr>
      <xdr:spPr>
        <a:xfrm>
          <a:off x="2311400" y="1390650"/>
          <a:ext cx="2006600" cy="1346200"/>
        </a:xfrm>
        <a:prstGeom prst="roundRect">
          <a:avLst>
            <a:gd name="adj" fmla="val 20814"/>
          </a:avLst>
        </a:prstGeom>
        <a:solidFill>
          <a:schemeClr val="bg1"/>
        </a:solidFill>
        <a:ln>
          <a:solidFill>
            <a:schemeClr val="bg2"/>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6350</xdr:colOff>
      <xdr:row>6</xdr:row>
      <xdr:rowOff>12700</xdr:rowOff>
    </xdr:from>
    <xdr:to>
      <xdr:col>6</xdr:col>
      <xdr:colOff>990600</xdr:colOff>
      <xdr:row>10</xdr:row>
      <xdr:rowOff>254000</xdr:rowOff>
    </xdr:to>
    <xdr:sp macro="" textlink="">
      <xdr:nvSpPr>
        <xdr:cNvPr id="11" name="Rectangle: Rounded Corners 10">
          <a:extLst>
            <a:ext uri="{FF2B5EF4-FFF2-40B4-BE49-F238E27FC236}">
              <a16:creationId xmlns:a16="http://schemas.microsoft.com/office/drawing/2014/main" id="{FDAB07B6-7C62-4C7A-905B-20725E185ED1}"/>
            </a:ext>
          </a:extLst>
        </xdr:cNvPr>
        <xdr:cNvSpPr/>
      </xdr:nvSpPr>
      <xdr:spPr>
        <a:xfrm>
          <a:off x="4349750" y="1384300"/>
          <a:ext cx="2006600" cy="1358900"/>
        </a:xfrm>
        <a:prstGeom prst="roundRect">
          <a:avLst/>
        </a:prstGeom>
        <a:solidFill>
          <a:schemeClr val="bg1"/>
        </a:solidFill>
        <a:ln>
          <a:solidFill>
            <a:schemeClr val="bg2"/>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9</xdr:col>
      <xdr:colOff>0</xdr:colOff>
      <xdr:row>6</xdr:row>
      <xdr:rowOff>6350</xdr:rowOff>
    </xdr:from>
    <xdr:to>
      <xdr:col>10</xdr:col>
      <xdr:colOff>984250</xdr:colOff>
      <xdr:row>10</xdr:row>
      <xdr:rowOff>247650</xdr:rowOff>
    </xdr:to>
    <xdr:sp macro="" textlink="">
      <xdr:nvSpPr>
        <xdr:cNvPr id="12" name="Rectangle: Rounded Corners 11">
          <a:extLst>
            <a:ext uri="{FF2B5EF4-FFF2-40B4-BE49-F238E27FC236}">
              <a16:creationId xmlns:a16="http://schemas.microsoft.com/office/drawing/2014/main" id="{B3176115-CE26-4385-BE9D-CB7B34E6CDA8}"/>
            </a:ext>
          </a:extLst>
        </xdr:cNvPr>
        <xdr:cNvSpPr/>
      </xdr:nvSpPr>
      <xdr:spPr>
        <a:xfrm>
          <a:off x="8432800" y="1377950"/>
          <a:ext cx="2006600" cy="1358900"/>
        </a:xfrm>
        <a:prstGeom prst="roundRect">
          <a:avLst/>
        </a:prstGeom>
        <a:solidFill>
          <a:schemeClr val="bg1"/>
        </a:solidFill>
        <a:ln>
          <a:solidFill>
            <a:schemeClr val="bg2"/>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6</xdr:col>
      <xdr:colOff>1016000</xdr:colOff>
      <xdr:row>6</xdr:row>
      <xdr:rowOff>6350</xdr:rowOff>
    </xdr:from>
    <xdr:to>
      <xdr:col>8</xdr:col>
      <xdr:colOff>977900</xdr:colOff>
      <xdr:row>10</xdr:row>
      <xdr:rowOff>260350</xdr:rowOff>
    </xdr:to>
    <xdr:sp macro="" textlink="">
      <xdr:nvSpPr>
        <xdr:cNvPr id="13" name="Rectangle: Rounded Corners 12">
          <a:extLst>
            <a:ext uri="{FF2B5EF4-FFF2-40B4-BE49-F238E27FC236}">
              <a16:creationId xmlns:a16="http://schemas.microsoft.com/office/drawing/2014/main" id="{F726D03B-4A7B-4327-B978-BEFF56BDD3D7}"/>
            </a:ext>
          </a:extLst>
        </xdr:cNvPr>
        <xdr:cNvSpPr/>
      </xdr:nvSpPr>
      <xdr:spPr>
        <a:xfrm>
          <a:off x="6381750" y="1377950"/>
          <a:ext cx="2006600" cy="1371600"/>
        </a:xfrm>
        <a:prstGeom prst="roundRect">
          <a:avLst/>
        </a:prstGeom>
        <a:solidFill>
          <a:schemeClr val="bg1"/>
        </a:solidFill>
        <a:ln>
          <a:solidFill>
            <a:schemeClr val="bg2"/>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10</xdr:col>
      <xdr:colOff>1016000</xdr:colOff>
      <xdr:row>6</xdr:row>
      <xdr:rowOff>6350</xdr:rowOff>
    </xdr:from>
    <xdr:to>
      <xdr:col>12</xdr:col>
      <xdr:colOff>977900</xdr:colOff>
      <xdr:row>10</xdr:row>
      <xdr:rowOff>247650</xdr:rowOff>
    </xdr:to>
    <xdr:sp macro="" textlink="">
      <xdr:nvSpPr>
        <xdr:cNvPr id="14" name="Rectangle: Rounded Corners 13">
          <a:extLst>
            <a:ext uri="{FF2B5EF4-FFF2-40B4-BE49-F238E27FC236}">
              <a16:creationId xmlns:a16="http://schemas.microsoft.com/office/drawing/2014/main" id="{58409E57-E330-4271-9EDF-9EB0A6CF4A6A}"/>
            </a:ext>
          </a:extLst>
        </xdr:cNvPr>
        <xdr:cNvSpPr/>
      </xdr:nvSpPr>
      <xdr:spPr>
        <a:xfrm>
          <a:off x="10471150" y="1377950"/>
          <a:ext cx="2006600" cy="1358900"/>
        </a:xfrm>
        <a:prstGeom prst="roundRect">
          <a:avLst/>
        </a:prstGeom>
        <a:solidFill>
          <a:schemeClr val="bg1"/>
        </a:solidFill>
        <a:ln>
          <a:solidFill>
            <a:schemeClr val="bg2"/>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171450</xdr:colOff>
      <xdr:row>6</xdr:row>
      <xdr:rowOff>82550</xdr:rowOff>
    </xdr:from>
    <xdr:to>
      <xdr:col>2</xdr:col>
      <xdr:colOff>825500</xdr:colOff>
      <xdr:row>7</xdr:row>
      <xdr:rowOff>31750</xdr:rowOff>
    </xdr:to>
    <xdr:sp macro="" textlink="">
      <xdr:nvSpPr>
        <xdr:cNvPr id="16" name="TextBox 15">
          <a:extLst>
            <a:ext uri="{FF2B5EF4-FFF2-40B4-BE49-F238E27FC236}">
              <a16:creationId xmlns:a16="http://schemas.microsoft.com/office/drawing/2014/main" id="{2C53A772-BE30-4FF4-8C21-B86EA6493BEB}"/>
            </a:ext>
          </a:extLst>
        </xdr:cNvPr>
        <xdr:cNvSpPr txBox="1"/>
      </xdr:nvSpPr>
      <xdr:spPr>
        <a:xfrm>
          <a:off x="425450" y="1454150"/>
          <a:ext cx="16764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000" b="1">
              <a:solidFill>
                <a:schemeClr val="dk1"/>
              </a:solidFill>
              <a:effectLst/>
              <a:latin typeface="Segoe UI" panose="020B0502040204020203" pitchFamily="34" charset="0"/>
              <a:ea typeface="+mn-ea"/>
              <a:cs typeface="Segoe UI" panose="020B0502040204020203" pitchFamily="34" charset="0"/>
            </a:rPr>
            <a:t>Total</a:t>
          </a:r>
          <a:r>
            <a:rPr lang="en-GB" sz="1000" b="1" baseline="0">
              <a:solidFill>
                <a:schemeClr val="dk1"/>
              </a:solidFill>
              <a:effectLst/>
              <a:latin typeface="Segoe UI" panose="020B0502040204020203" pitchFamily="34" charset="0"/>
              <a:ea typeface="+mn-ea"/>
              <a:cs typeface="Segoe UI" panose="020B0502040204020203" pitchFamily="34" charset="0"/>
            </a:rPr>
            <a:t> Contract Value</a:t>
          </a:r>
          <a:endParaRPr lang="en-GB" sz="1000" b="1">
            <a:effectLst/>
            <a:latin typeface="Segoe UI" panose="020B0502040204020203" pitchFamily="34" charset="0"/>
            <a:cs typeface="Segoe UI" panose="020B0502040204020203" pitchFamily="34" charset="0"/>
          </a:endParaRPr>
        </a:p>
        <a:p>
          <a:endParaRPr lang="en-GB" sz="1100"/>
        </a:p>
      </xdr:txBody>
    </xdr:sp>
    <xdr:clientData/>
  </xdr:twoCellAnchor>
  <xdr:twoCellAnchor>
    <xdr:from>
      <xdr:col>1</xdr:col>
      <xdr:colOff>31750</xdr:colOff>
      <xdr:row>7</xdr:row>
      <xdr:rowOff>152400</xdr:rowOff>
    </xdr:from>
    <xdr:to>
      <xdr:col>2</xdr:col>
      <xdr:colOff>952500</xdr:colOff>
      <xdr:row>9</xdr:row>
      <xdr:rowOff>234950</xdr:rowOff>
    </xdr:to>
    <xdr:sp macro="" textlink="Dashboard_data!B2">
      <xdr:nvSpPr>
        <xdr:cNvPr id="17" name="TextBox 16">
          <a:extLst>
            <a:ext uri="{FF2B5EF4-FFF2-40B4-BE49-F238E27FC236}">
              <a16:creationId xmlns:a16="http://schemas.microsoft.com/office/drawing/2014/main" id="{4A3F994F-73AF-4FFA-9E1E-0DC176B2EC80}"/>
            </a:ext>
          </a:extLst>
        </xdr:cNvPr>
        <xdr:cNvSpPr txBox="1"/>
      </xdr:nvSpPr>
      <xdr:spPr>
        <a:xfrm>
          <a:off x="285750" y="1803400"/>
          <a:ext cx="1943100" cy="641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CC7560-5863-4DE6-8B6D-18EF7CBFAE58}" type="TxLink">
            <a:rPr lang="en-US" sz="2400" b="0" i="0" u="none" strike="noStrike">
              <a:solidFill>
                <a:schemeClr val="accent1">
                  <a:lumMod val="75000"/>
                </a:schemeClr>
              </a:solidFill>
              <a:latin typeface="Segoe UI" panose="020B0502040204020203" pitchFamily="34" charset="0"/>
              <a:cs typeface="Segoe UI" panose="020B0502040204020203" pitchFamily="34" charset="0"/>
            </a:rPr>
            <a:pPr algn="ctr"/>
            <a:t>£22.75M</a:t>
          </a:fld>
          <a:endParaRPr lang="en-GB" sz="2400" b="1">
            <a:solidFill>
              <a:schemeClr val="accent1">
                <a:lumMod val="75000"/>
              </a:schemeClr>
            </a:solidFill>
            <a:latin typeface="Segoe UI" panose="020B0502040204020203" pitchFamily="34" charset="0"/>
            <a:cs typeface="Segoe UI" panose="020B0502040204020203" pitchFamily="34" charset="0"/>
          </a:endParaRPr>
        </a:p>
      </xdr:txBody>
    </xdr:sp>
    <xdr:clientData/>
  </xdr:twoCellAnchor>
  <xdr:twoCellAnchor>
    <xdr:from>
      <xdr:col>1</xdr:col>
      <xdr:colOff>209550</xdr:colOff>
      <xdr:row>9</xdr:row>
      <xdr:rowOff>171450</xdr:rowOff>
    </xdr:from>
    <xdr:to>
      <xdr:col>2</xdr:col>
      <xdr:colOff>736600</xdr:colOff>
      <xdr:row>10</xdr:row>
      <xdr:rowOff>114300</xdr:rowOff>
    </xdr:to>
    <xdr:sp macro="" textlink="">
      <xdr:nvSpPr>
        <xdr:cNvPr id="18" name="TextBox 17">
          <a:extLst>
            <a:ext uri="{FF2B5EF4-FFF2-40B4-BE49-F238E27FC236}">
              <a16:creationId xmlns:a16="http://schemas.microsoft.com/office/drawing/2014/main" id="{251FDFCA-0C3E-4E55-B3F0-2D3CF56F6307}"/>
            </a:ext>
          </a:extLst>
        </xdr:cNvPr>
        <xdr:cNvSpPr txBox="1"/>
      </xdr:nvSpPr>
      <xdr:spPr>
        <a:xfrm>
          <a:off x="463550" y="2381250"/>
          <a:ext cx="154940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900" b="1">
              <a:solidFill>
                <a:schemeClr val="dk1"/>
              </a:solidFill>
              <a:effectLst/>
              <a:latin typeface="Segoe UI" panose="020B0502040204020203" pitchFamily="34" charset="0"/>
              <a:ea typeface="+mn-ea"/>
              <a:cs typeface="Segoe UI" panose="020B0502040204020203" pitchFamily="34" charset="0"/>
            </a:rPr>
            <a:t>Portfolio Value</a:t>
          </a:r>
        </a:p>
      </xdr:txBody>
    </xdr:sp>
    <xdr:clientData/>
  </xdr:twoCellAnchor>
  <xdr:twoCellAnchor>
    <xdr:from>
      <xdr:col>3</xdr:col>
      <xdr:colOff>247650</xdr:colOff>
      <xdr:row>6</xdr:row>
      <xdr:rowOff>95250</xdr:rowOff>
    </xdr:from>
    <xdr:to>
      <xdr:col>4</xdr:col>
      <xdr:colOff>806450</xdr:colOff>
      <xdr:row>7</xdr:row>
      <xdr:rowOff>50800</xdr:rowOff>
    </xdr:to>
    <xdr:sp macro="" textlink="">
      <xdr:nvSpPr>
        <xdr:cNvPr id="20" name="TextBox 19">
          <a:extLst>
            <a:ext uri="{FF2B5EF4-FFF2-40B4-BE49-F238E27FC236}">
              <a16:creationId xmlns:a16="http://schemas.microsoft.com/office/drawing/2014/main" id="{3DAB5C7B-00C4-407A-9E90-20DFA440285F}"/>
            </a:ext>
          </a:extLst>
        </xdr:cNvPr>
        <xdr:cNvSpPr txBox="1"/>
      </xdr:nvSpPr>
      <xdr:spPr>
        <a:xfrm>
          <a:off x="2546350" y="1466850"/>
          <a:ext cx="15811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000" b="1">
              <a:solidFill>
                <a:schemeClr val="dk1"/>
              </a:solidFill>
              <a:effectLst/>
              <a:latin typeface="Segoe UI" panose="020B0502040204020203" pitchFamily="34" charset="0"/>
              <a:ea typeface="+mn-ea"/>
              <a:cs typeface="Segoe UI" panose="020B0502040204020203" pitchFamily="34" charset="0"/>
            </a:rPr>
            <a:t>Total Cost Budget</a:t>
          </a:r>
        </a:p>
      </xdr:txBody>
    </xdr:sp>
    <xdr:clientData/>
  </xdr:twoCellAnchor>
  <xdr:twoCellAnchor>
    <xdr:from>
      <xdr:col>2</xdr:col>
      <xdr:colOff>1009650</xdr:colOff>
      <xdr:row>7</xdr:row>
      <xdr:rowOff>139700</xdr:rowOff>
    </xdr:from>
    <xdr:to>
      <xdr:col>4</xdr:col>
      <xdr:colOff>908050</xdr:colOff>
      <xdr:row>9</xdr:row>
      <xdr:rowOff>222250</xdr:rowOff>
    </xdr:to>
    <xdr:sp macro="" textlink="Dashboard_data!B3">
      <xdr:nvSpPr>
        <xdr:cNvPr id="21" name="TextBox 20">
          <a:extLst>
            <a:ext uri="{FF2B5EF4-FFF2-40B4-BE49-F238E27FC236}">
              <a16:creationId xmlns:a16="http://schemas.microsoft.com/office/drawing/2014/main" id="{BFF332DE-EF2C-4801-A74E-0592F575E3DC}"/>
            </a:ext>
          </a:extLst>
        </xdr:cNvPr>
        <xdr:cNvSpPr txBox="1"/>
      </xdr:nvSpPr>
      <xdr:spPr>
        <a:xfrm>
          <a:off x="2286000" y="1790700"/>
          <a:ext cx="1943100" cy="641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F771D6B-54A0-480C-B334-A96EE0D9662F}" type="TxLink">
            <a:rPr lang="en-US" sz="2400" b="0" i="0" u="none" strike="noStrike">
              <a:solidFill>
                <a:schemeClr val="accent1">
                  <a:lumMod val="75000"/>
                </a:schemeClr>
              </a:solidFill>
              <a:latin typeface="Segoe UI" panose="020B0502040204020203" pitchFamily="34" charset="0"/>
              <a:ea typeface="+mn-ea"/>
              <a:cs typeface="Segoe UI" panose="020B0502040204020203" pitchFamily="34" charset="0"/>
            </a:rPr>
            <a:pPr marL="0" indent="0" algn="ctr"/>
            <a:t>£20.48M</a:t>
          </a:fld>
          <a:endParaRPr lang="en-GB" sz="2400" b="0" i="0" u="none" strike="noStrike">
            <a:solidFill>
              <a:schemeClr val="accent1">
                <a:lumMod val="7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3</xdr:col>
      <xdr:colOff>165100</xdr:colOff>
      <xdr:row>9</xdr:row>
      <xdr:rowOff>165100</xdr:rowOff>
    </xdr:from>
    <xdr:to>
      <xdr:col>4</xdr:col>
      <xdr:colOff>692150</xdr:colOff>
      <xdr:row>10</xdr:row>
      <xdr:rowOff>107950</xdr:rowOff>
    </xdr:to>
    <xdr:sp macro="" textlink="">
      <xdr:nvSpPr>
        <xdr:cNvPr id="23" name="TextBox 22">
          <a:extLst>
            <a:ext uri="{FF2B5EF4-FFF2-40B4-BE49-F238E27FC236}">
              <a16:creationId xmlns:a16="http://schemas.microsoft.com/office/drawing/2014/main" id="{E5895018-6BC5-4456-AFB2-791EC752D468}"/>
            </a:ext>
          </a:extLst>
        </xdr:cNvPr>
        <xdr:cNvSpPr txBox="1"/>
      </xdr:nvSpPr>
      <xdr:spPr>
        <a:xfrm>
          <a:off x="2463800" y="2374900"/>
          <a:ext cx="154940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900" b="1">
              <a:solidFill>
                <a:schemeClr val="dk1"/>
              </a:solidFill>
              <a:effectLst/>
              <a:latin typeface="Segoe UI" panose="020B0502040204020203" pitchFamily="34" charset="0"/>
              <a:ea typeface="+mn-ea"/>
              <a:cs typeface="Segoe UI" panose="020B0502040204020203" pitchFamily="34" charset="0"/>
            </a:rPr>
            <a:t>Approved Budget</a:t>
          </a:r>
        </a:p>
      </xdr:txBody>
    </xdr:sp>
    <xdr:clientData/>
  </xdr:twoCellAnchor>
  <xdr:twoCellAnchor>
    <xdr:from>
      <xdr:col>5</xdr:col>
      <xdr:colOff>196850</xdr:colOff>
      <xdr:row>6</xdr:row>
      <xdr:rowOff>88900</xdr:rowOff>
    </xdr:from>
    <xdr:to>
      <xdr:col>6</xdr:col>
      <xdr:colOff>755650</xdr:colOff>
      <xdr:row>7</xdr:row>
      <xdr:rowOff>44450</xdr:rowOff>
    </xdr:to>
    <xdr:sp macro="" textlink="">
      <xdr:nvSpPr>
        <xdr:cNvPr id="24" name="TextBox 23">
          <a:extLst>
            <a:ext uri="{FF2B5EF4-FFF2-40B4-BE49-F238E27FC236}">
              <a16:creationId xmlns:a16="http://schemas.microsoft.com/office/drawing/2014/main" id="{9F7D632E-3E3E-4AC8-B879-0866502AB42C}"/>
            </a:ext>
          </a:extLst>
        </xdr:cNvPr>
        <xdr:cNvSpPr txBox="1"/>
      </xdr:nvSpPr>
      <xdr:spPr>
        <a:xfrm>
          <a:off x="4540250" y="1460500"/>
          <a:ext cx="15811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000" b="1">
              <a:solidFill>
                <a:schemeClr val="dk1"/>
              </a:solidFill>
              <a:effectLst/>
              <a:latin typeface="Segoe UI" panose="020B0502040204020203" pitchFamily="34" charset="0"/>
              <a:ea typeface="+mn-ea"/>
              <a:cs typeface="Segoe UI" panose="020B0502040204020203" pitchFamily="34" charset="0"/>
            </a:rPr>
            <a:t>Actual Spend</a:t>
          </a:r>
        </a:p>
      </xdr:txBody>
    </xdr:sp>
    <xdr:clientData/>
  </xdr:twoCellAnchor>
  <xdr:twoCellAnchor>
    <xdr:from>
      <xdr:col>5</xdr:col>
      <xdr:colOff>120650</xdr:colOff>
      <xdr:row>7</xdr:row>
      <xdr:rowOff>139700</xdr:rowOff>
    </xdr:from>
    <xdr:to>
      <xdr:col>6</xdr:col>
      <xdr:colOff>781050</xdr:colOff>
      <xdr:row>9</xdr:row>
      <xdr:rowOff>50800</xdr:rowOff>
    </xdr:to>
    <xdr:sp macro="" textlink="Dashboard_data!B4">
      <xdr:nvSpPr>
        <xdr:cNvPr id="25" name="TextBox 24">
          <a:extLst>
            <a:ext uri="{FF2B5EF4-FFF2-40B4-BE49-F238E27FC236}">
              <a16:creationId xmlns:a16="http://schemas.microsoft.com/office/drawing/2014/main" id="{DF288220-1EE1-4048-8D09-0D56F38896D4}"/>
            </a:ext>
          </a:extLst>
        </xdr:cNvPr>
        <xdr:cNvSpPr txBox="1"/>
      </xdr:nvSpPr>
      <xdr:spPr>
        <a:xfrm>
          <a:off x="4464050" y="1790700"/>
          <a:ext cx="168275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BB42F0-9A1B-47CC-95B9-4D694BECE922}" type="TxLink">
            <a:rPr lang="en-US" sz="2400" b="0" i="0" u="none" strike="noStrike">
              <a:solidFill>
                <a:schemeClr val="accent1"/>
              </a:solidFill>
              <a:latin typeface="Segoe UI" panose="020B0502040204020203" pitchFamily="34" charset="0"/>
              <a:cs typeface="Segoe UI" panose="020B0502040204020203" pitchFamily="34" charset="0"/>
            </a:rPr>
            <a:pPr algn="ctr"/>
            <a:t>£3.04M</a:t>
          </a:fld>
          <a:endParaRPr lang="en-GB" sz="2400">
            <a:solidFill>
              <a:schemeClr val="accent1"/>
            </a:solidFill>
            <a:latin typeface="Segoe UI" panose="020B0502040204020203" pitchFamily="34" charset="0"/>
            <a:cs typeface="Segoe UI" panose="020B0502040204020203" pitchFamily="34" charset="0"/>
          </a:endParaRPr>
        </a:p>
      </xdr:txBody>
    </xdr:sp>
    <xdr:clientData/>
  </xdr:twoCellAnchor>
  <xdr:twoCellAnchor>
    <xdr:from>
      <xdr:col>5</xdr:col>
      <xdr:colOff>298450</xdr:colOff>
      <xdr:row>9</xdr:row>
      <xdr:rowOff>171450</xdr:rowOff>
    </xdr:from>
    <xdr:to>
      <xdr:col>5</xdr:col>
      <xdr:colOff>933450</xdr:colOff>
      <xdr:row>10</xdr:row>
      <xdr:rowOff>139700</xdr:rowOff>
    </xdr:to>
    <xdr:sp macro="" textlink="Dashboard_data!B7">
      <xdr:nvSpPr>
        <xdr:cNvPr id="26" name="TextBox 25">
          <a:extLst>
            <a:ext uri="{FF2B5EF4-FFF2-40B4-BE49-F238E27FC236}">
              <a16:creationId xmlns:a16="http://schemas.microsoft.com/office/drawing/2014/main" id="{50F7C07C-ABDE-41D7-98D3-D6449AD350AF}"/>
            </a:ext>
          </a:extLst>
        </xdr:cNvPr>
        <xdr:cNvSpPr txBox="1"/>
      </xdr:nvSpPr>
      <xdr:spPr>
        <a:xfrm>
          <a:off x="4641850" y="2381250"/>
          <a:ext cx="635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D7BC42C2-E24A-49C0-90F4-A7D5598C59E2}" type="TxLink">
            <a:rPr lang="en-US" sz="900" b="0" i="0" u="none" strike="noStrike">
              <a:solidFill>
                <a:schemeClr val="accent1"/>
              </a:solidFill>
              <a:effectLst/>
              <a:latin typeface="Arial Unicode MS"/>
              <a:ea typeface="+mn-ea"/>
              <a:cs typeface="Segoe UI" panose="020B05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14.9%</a:t>
          </a:fld>
          <a:endParaRPr lang="en-GB" sz="900" b="1">
            <a:solidFill>
              <a:schemeClr val="accent1"/>
            </a:solidFill>
            <a:effectLst/>
            <a:latin typeface="Segoe UI" panose="020B0502040204020203" pitchFamily="34" charset="0"/>
            <a:ea typeface="+mn-ea"/>
            <a:cs typeface="Segoe UI" panose="020B0502040204020203" pitchFamily="34" charset="0"/>
          </a:endParaRPr>
        </a:p>
      </xdr:txBody>
    </xdr:sp>
    <xdr:clientData/>
  </xdr:twoCellAnchor>
  <xdr:twoCellAnchor>
    <xdr:from>
      <xdr:col>5</xdr:col>
      <xdr:colOff>831850</xdr:colOff>
      <xdr:row>9</xdr:row>
      <xdr:rowOff>177800</xdr:rowOff>
    </xdr:from>
    <xdr:to>
      <xdr:col>6</xdr:col>
      <xdr:colOff>762000</xdr:colOff>
      <xdr:row>10</xdr:row>
      <xdr:rowOff>101600</xdr:rowOff>
    </xdr:to>
    <xdr:sp macro="" textlink="">
      <xdr:nvSpPr>
        <xdr:cNvPr id="27" name="TextBox 26">
          <a:extLst>
            <a:ext uri="{FF2B5EF4-FFF2-40B4-BE49-F238E27FC236}">
              <a16:creationId xmlns:a16="http://schemas.microsoft.com/office/drawing/2014/main" id="{1806C267-3CFE-4849-8A6F-FBFE402EEA84}"/>
            </a:ext>
          </a:extLst>
        </xdr:cNvPr>
        <xdr:cNvSpPr txBox="1"/>
      </xdr:nvSpPr>
      <xdr:spPr>
        <a:xfrm>
          <a:off x="5175250" y="2387600"/>
          <a:ext cx="952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a:solidFill>
                <a:schemeClr val="dk1"/>
              </a:solidFill>
              <a:effectLst/>
              <a:latin typeface="Segoe UI" panose="020B0502040204020203" pitchFamily="34" charset="0"/>
              <a:ea typeface="+mn-ea"/>
              <a:cs typeface="Segoe UI" panose="020B0502040204020203" pitchFamily="34" charset="0"/>
            </a:rPr>
            <a:t>Utilised</a:t>
          </a:r>
        </a:p>
      </xdr:txBody>
    </xdr:sp>
    <xdr:clientData/>
  </xdr:twoCellAnchor>
  <xdr:twoCellAnchor>
    <xdr:from>
      <xdr:col>7</xdr:col>
      <xdr:colOff>152400</xdr:colOff>
      <xdr:row>6</xdr:row>
      <xdr:rowOff>114300</xdr:rowOff>
    </xdr:from>
    <xdr:to>
      <xdr:col>8</xdr:col>
      <xdr:colOff>711200</xdr:colOff>
      <xdr:row>7</xdr:row>
      <xdr:rowOff>69850</xdr:rowOff>
    </xdr:to>
    <xdr:sp macro="" textlink="">
      <xdr:nvSpPr>
        <xdr:cNvPr id="28" name="TextBox 27">
          <a:extLst>
            <a:ext uri="{FF2B5EF4-FFF2-40B4-BE49-F238E27FC236}">
              <a16:creationId xmlns:a16="http://schemas.microsoft.com/office/drawing/2014/main" id="{8AF3D7C3-A7DD-4860-B60B-A3C99E24844A}"/>
            </a:ext>
          </a:extLst>
        </xdr:cNvPr>
        <xdr:cNvSpPr txBox="1"/>
      </xdr:nvSpPr>
      <xdr:spPr>
        <a:xfrm>
          <a:off x="6540500" y="1485900"/>
          <a:ext cx="15811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000" b="1">
              <a:solidFill>
                <a:schemeClr val="dk1"/>
              </a:solidFill>
              <a:effectLst/>
              <a:latin typeface="Segoe UI" panose="020B0502040204020203" pitchFamily="34" charset="0"/>
              <a:ea typeface="+mn-ea"/>
              <a:cs typeface="Segoe UI" panose="020B0502040204020203" pitchFamily="34" charset="0"/>
            </a:rPr>
            <a:t>Remaining</a:t>
          </a:r>
          <a:r>
            <a:rPr lang="en-GB" sz="1000" b="1" baseline="0">
              <a:solidFill>
                <a:schemeClr val="dk1"/>
              </a:solidFill>
              <a:effectLst/>
              <a:latin typeface="Segoe UI" panose="020B0502040204020203" pitchFamily="34" charset="0"/>
              <a:ea typeface="+mn-ea"/>
              <a:cs typeface="Segoe UI" panose="020B0502040204020203" pitchFamily="34" charset="0"/>
            </a:rPr>
            <a:t> Budget</a:t>
          </a:r>
          <a:endParaRPr lang="en-GB" sz="1000" b="1">
            <a:solidFill>
              <a:schemeClr val="dk1"/>
            </a:solidFill>
            <a:effectLst/>
            <a:latin typeface="Segoe UI" panose="020B0502040204020203" pitchFamily="34" charset="0"/>
            <a:ea typeface="+mn-ea"/>
            <a:cs typeface="Segoe UI" panose="020B0502040204020203" pitchFamily="34" charset="0"/>
          </a:endParaRPr>
        </a:p>
      </xdr:txBody>
    </xdr:sp>
    <xdr:clientData/>
  </xdr:twoCellAnchor>
  <xdr:twoCellAnchor>
    <xdr:from>
      <xdr:col>7</xdr:col>
      <xdr:colOff>44450</xdr:colOff>
      <xdr:row>7</xdr:row>
      <xdr:rowOff>114300</xdr:rowOff>
    </xdr:from>
    <xdr:to>
      <xdr:col>8</xdr:col>
      <xdr:colOff>704850</xdr:colOff>
      <xdr:row>9</xdr:row>
      <xdr:rowOff>25400</xdr:rowOff>
    </xdr:to>
    <xdr:sp macro="" textlink="Dashboard_data!B5">
      <xdr:nvSpPr>
        <xdr:cNvPr id="29" name="TextBox 28">
          <a:extLst>
            <a:ext uri="{FF2B5EF4-FFF2-40B4-BE49-F238E27FC236}">
              <a16:creationId xmlns:a16="http://schemas.microsoft.com/office/drawing/2014/main" id="{A806EE76-B809-451A-81FD-B84B0ADFEC42}"/>
            </a:ext>
          </a:extLst>
        </xdr:cNvPr>
        <xdr:cNvSpPr txBox="1"/>
      </xdr:nvSpPr>
      <xdr:spPr>
        <a:xfrm>
          <a:off x="6432550" y="1765300"/>
          <a:ext cx="168275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F4054C-0244-49F1-A959-4EF1D7D8D146}" type="TxLink">
            <a:rPr lang="en-US" sz="2400" b="0" i="0" u="none" strike="noStrike">
              <a:solidFill>
                <a:schemeClr val="accent1"/>
              </a:solidFill>
              <a:latin typeface="Segoe UI" panose="020B0502040204020203" pitchFamily="34" charset="0"/>
              <a:cs typeface="Segoe UI" panose="020B0502040204020203" pitchFamily="34" charset="0"/>
            </a:rPr>
            <a:pPr algn="ctr"/>
            <a:t>£17.43M</a:t>
          </a:fld>
          <a:endParaRPr lang="en-GB" sz="2400">
            <a:solidFill>
              <a:schemeClr val="accent1"/>
            </a:solidFill>
            <a:latin typeface="Segoe UI" panose="020B0502040204020203" pitchFamily="34" charset="0"/>
            <a:cs typeface="Segoe UI" panose="020B0502040204020203" pitchFamily="34" charset="0"/>
          </a:endParaRPr>
        </a:p>
      </xdr:txBody>
    </xdr:sp>
    <xdr:clientData/>
  </xdr:twoCellAnchor>
  <xdr:twoCellAnchor>
    <xdr:from>
      <xdr:col>7</xdr:col>
      <xdr:colOff>254000</xdr:colOff>
      <xdr:row>9</xdr:row>
      <xdr:rowOff>196850</xdr:rowOff>
    </xdr:from>
    <xdr:to>
      <xdr:col>7</xdr:col>
      <xdr:colOff>889000</xdr:colOff>
      <xdr:row>10</xdr:row>
      <xdr:rowOff>165100</xdr:rowOff>
    </xdr:to>
    <xdr:sp macro="" textlink="Dashboard_data!B12">
      <xdr:nvSpPr>
        <xdr:cNvPr id="30" name="TextBox 29">
          <a:extLst>
            <a:ext uri="{FF2B5EF4-FFF2-40B4-BE49-F238E27FC236}">
              <a16:creationId xmlns:a16="http://schemas.microsoft.com/office/drawing/2014/main" id="{F11D021B-4391-4EB0-A1E1-4AA5F25F0B1A}"/>
            </a:ext>
          </a:extLst>
        </xdr:cNvPr>
        <xdr:cNvSpPr txBox="1"/>
      </xdr:nvSpPr>
      <xdr:spPr>
        <a:xfrm>
          <a:off x="6642100" y="2406650"/>
          <a:ext cx="635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7061A306-B009-45A0-8CFD-AD6D83AE96FE}" type="TxLink">
            <a:rPr lang="en-US" sz="900" b="0" i="0" u="none" strike="noStrike">
              <a:solidFill>
                <a:schemeClr val="accent1"/>
              </a:solidFill>
              <a:effectLst/>
              <a:latin typeface="Arial Unicode MS"/>
              <a:ea typeface="+mn-ea"/>
              <a:cs typeface="Segoe UI" panose="020B05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85.1%</a:t>
          </a:fld>
          <a:endParaRPr lang="en-GB" sz="900" b="0" i="0" u="none" strike="noStrike">
            <a:solidFill>
              <a:schemeClr val="accent1"/>
            </a:solidFill>
            <a:effectLst/>
            <a:latin typeface="Arial Unicode MS"/>
            <a:ea typeface="+mn-ea"/>
            <a:cs typeface="Segoe UI" panose="020B0502040204020203" pitchFamily="34" charset="0"/>
          </a:endParaRPr>
        </a:p>
      </xdr:txBody>
    </xdr:sp>
    <xdr:clientData/>
  </xdr:twoCellAnchor>
  <xdr:twoCellAnchor>
    <xdr:from>
      <xdr:col>7</xdr:col>
      <xdr:colOff>812800</xdr:colOff>
      <xdr:row>9</xdr:row>
      <xdr:rowOff>184150</xdr:rowOff>
    </xdr:from>
    <xdr:to>
      <xdr:col>8</xdr:col>
      <xdr:colOff>742950</xdr:colOff>
      <xdr:row>10</xdr:row>
      <xdr:rowOff>107950</xdr:rowOff>
    </xdr:to>
    <xdr:sp macro="" textlink="">
      <xdr:nvSpPr>
        <xdr:cNvPr id="31" name="TextBox 30">
          <a:extLst>
            <a:ext uri="{FF2B5EF4-FFF2-40B4-BE49-F238E27FC236}">
              <a16:creationId xmlns:a16="http://schemas.microsoft.com/office/drawing/2014/main" id="{8198BEB0-60D7-498D-A40A-D718D1212F6C}"/>
            </a:ext>
          </a:extLst>
        </xdr:cNvPr>
        <xdr:cNvSpPr txBox="1"/>
      </xdr:nvSpPr>
      <xdr:spPr>
        <a:xfrm>
          <a:off x="7200900" y="2393950"/>
          <a:ext cx="952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a:solidFill>
                <a:schemeClr val="dk1"/>
              </a:solidFill>
              <a:effectLst/>
              <a:latin typeface="Segoe UI" panose="020B0502040204020203" pitchFamily="34" charset="0"/>
              <a:ea typeface="+mn-ea"/>
              <a:cs typeface="Segoe UI" panose="020B0502040204020203" pitchFamily="34" charset="0"/>
            </a:rPr>
            <a:t>Availbale</a:t>
          </a:r>
        </a:p>
      </xdr:txBody>
    </xdr:sp>
    <xdr:clientData/>
  </xdr:twoCellAnchor>
  <xdr:twoCellAnchor>
    <xdr:from>
      <xdr:col>9</xdr:col>
      <xdr:colOff>355600</xdr:colOff>
      <xdr:row>6</xdr:row>
      <xdr:rowOff>127000</xdr:rowOff>
    </xdr:from>
    <xdr:to>
      <xdr:col>10</xdr:col>
      <xdr:colOff>596900</xdr:colOff>
      <xdr:row>7</xdr:row>
      <xdr:rowOff>63500</xdr:rowOff>
    </xdr:to>
    <xdr:sp macro="" textlink="">
      <xdr:nvSpPr>
        <xdr:cNvPr id="36" name="TextBox 35">
          <a:extLst>
            <a:ext uri="{FF2B5EF4-FFF2-40B4-BE49-F238E27FC236}">
              <a16:creationId xmlns:a16="http://schemas.microsoft.com/office/drawing/2014/main" id="{FAFD2DA5-0171-4466-BDF3-CE049AF5C795}"/>
            </a:ext>
          </a:extLst>
        </xdr:cNvPr>
        <xdr:cNvSpPr txBox="1"/>
      </xdr:nvSpPr>
      <xdr:spPr>
        <a:xfrm>
          <a:off x="8788400" y="1498600"/>
          <a:ext cx="12636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000" b="1">
              <a:solidFill>
                <a:schemeClr val="dk1"/>
              </a:solidFill>
              <a:effectLst/>
              <a:latin typeface="Segoe UI" panose="020B0502040204020203" pitchFamily="34" charset="0"/>
              <a:ea typeface="+mn-ea"/>
              <a:cs typeface="Segoe UI" panose="020B0502040204020203" pitchFamily="34" charset="0"/>
            </a:rPr>
            <a:t>Planned Margins</a:t>
          </a:r>
        </a:p>
      </xdr:txBody>
    </xdr:sp>
    <xdr:clientData/>
  </xdr:twoCellAnchor>
  <xdr:twoCellAnchor>
    <xdr:from>
      <xdr:col>9</xdr:col>
      <xdr:colOff>209550</xdr:colOff>
      <xdr:row>7</xdr:row>
      <xdr:rowOff>152400</xdr:rowOff>
    </xdr:from>
    <xdr:to>
      <xdr:col>10</xdr:col>
      <xdr:colOff>717550</xdr:colOff>
      <xdr:row>8</xdr:row>
      <xdr:rowOff>234950</xdr:rowOff>
    </xdr:to>
    <xdr:sp macro="" textlink="Dashboard_data!B6">
      <xdr:nvSpPr>
        <xdr:cNvPr id="37" name="TextBox 36">
          <a:extLst>
            <a:ext uri="{FF2B5EF4-FFF2-40B4-BE49-F238E27FC236}">
              <a16:creationId xmlns:a16="http://schemas.microsoft.com/office/drawing/2014/main" id="{8ACED559-22D6-42EC-95BF-8C7330DDB16F}"/>
            </a:ext>
          </a:extLst>
        </xdr:cNvPr>
        <xdr:cNvSpPr txBox="1"/>
      </xdr:nvSpPr>
      <xdr:spPr>
        <a:xfrm>
          <a:off x="8642350" y="1803400"/>
          <a:ext cx="15303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CEE873A-8968-4D2E-BD00-175B5865B4E6}" type="TxLink">
            <a:rPr lang="en-US" sz="2400" b="0" i="0" u="none" strike="noStrike">
              <a:solidFill>
                <a:schemeClr val="accent1"/>
              </a:solidFill>
              <a:latin typeface="Segoe UI" panose="020B0502040204020203" pitchFamily="34" charset="0"/>
              <a:ea typeface="+mn-ea"/>
              <a:cs typeface="Segoe UI" panose="020B0502040204020203" pitchFamily="34" charset="0"/>
            </a:rPr>
            <a:pPr marL="0" indent="0" algn="ctr"/>
            <a:t>£2.28M</a:t>
          </a:fld>
          <a:endParaRPr lang="en-GB" sz="2400" b="0" i="0" u="none" strike="noStrike">
            <a:solidFill>
              <a:schemeClr val="accent1"/>
            </a:solidFill>
            <a:latin typeface="Segoe UI" panose="020B0502040204020203" pitchFamily="34" charset="0"/>
            <a:ea typeface="+mn-ea"/>
            <a:cs typeface="Segoe UI" panose="020B0502040204020203" pitchFamily="34" charset="0"/>
          </a:endParaRPr>
        </a:p>
      </xdr:txBody>
    </xdr:sp>
    <xdr:clientData/>
  </xdr:twoCellAnchor>
  <xdr:twoCellAnchor>
    <xdr:from>
      <xdr:col>11</xdr:col>
      <xdr:colOff>317500</xdr:colOff>
      <xdr:row>6</xdr:row>
      <xdr:rowOff>146050</xdr:rowOff>
    </xdr:from>
    <xdr:to>
      <xdr:col>12</xdr:col>
      <xdr:colOff>615950</xdr:colOff>
      <xdr:row>7</xdr:row>
      <xdr:rowOff>101600</xdr:rowOff>
    </xdr:to>
    <xdr:sp macro="" textlink="">
      <xdr:nvSpPr>
        <xdr:cNvPr id="39" name="TextBox 38">
          <a:extLst>
            <a:ext uri="{FF2B5EF4-FFF2-40B4-BE49-F238E27FC236}">
              <a16:creationId xmlns:a16="http://schemas.microsoft.com/office/drawing/2014/main" id="{9D3CE0B3-68F2-4925-900F-231B3B68A2F4}"/>
            </a:ext>
          </a:extLst>
        </xdr:cNvPr>
        <xdr:cNvSpPr txBox="1"/>
      </xdr:nvSpPr>
      <xdr:spPr>
        <a:xfrm>
          <a:off x="10795000" y="1517650"/>
          <a:ext cx="13208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000" b="1">
              <a:solidFill>
                <a:schemeClr val="dk1"/>
              </a:solidFill>
              <a:effectLst/>
              <a:latin typeface="Segoe UI" panose="020B0502040204020203" pitchFamily="34" charset="0"/>
              <a:ea typeface="+mn-ea"/>
              <a:cs typeface="Segoe UI" panose="020B0502040204020203" pitchFamily="34" charset="0"/>
            </a:rPr>
            <a:t>Active Projects</a:t>
          </a:r>
        </a:p>
      </xdr:txBody>
    </xdr:sp>
    <xdr:clientData/>
  </xdr:twoCellAnchor>
  <xdr:twoCellAnchor>
    <xdr:from>
      <xdr:col>11</xdr:col>
      <xdr:colOff>146050</xdr:colOff>
      <xdr:row>7</xdr:row>
      <xdr:rowOff>114300</xdr:rowOff>
    </xdr:from>
    <xdr:to>
      <xdr:col>12</xdr:col>
      <xdr:colOff>723900</xdr:colOff>
      <xdr:row>9</xdr:row>
      <xdr:rowOff>19050</xdr:rowOff>
    </xdr:to>
    <xdr:sp macro="" textlink="Dashboard_data!B11">
      <xdr:nvSpPr>
        <xdr:cNvPr id="40" name="TextBox 39">
          <a:extLst>
            <a:ext uri="{FF2B5EF4-FFF2-40B4-BE49-F238E27FC236}">
              <a16:creationId xmlns:a16="http://schemas.microsoft.com/office/drawing/2014/main" id="{D62D1A51-0D0C-498E-A832-F54067C22A55}"/>
            </a:ext>
          </a:extLst>
        </xdr:cNvPr>
        <xdr:cNvSpPr txBox="1"/>
      </xdr:nvSpPr>
      <xdr:spPr>
        <a:xfrm>
          <a:off x="10623550" y="1765300"/>
          <a:ext cx="160020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7DDCEA-1982-4D86-B9D0-9EA0B4A0562D}" type="TxLink">
            <a:rPr lang="en-US" sz="2400" b="0" i="0" u="none" strike="noStrike">
              <a:solidFill>
                <a:schemeClr val="accent1"/>
              </a:solidFill>
              <a:latin typeface="Segoe UI" panose="020B0502040204020203" pitchFamily="34" charset="0"/>
              <a:ea typeface="+mn-ea"/>
              <a:cs typeface="Segoe UI" panose="020B0502040204020203" pitchFamily="34" charset="0"/>
            </a:rPr>
            <a:pPr marL="0" indent="0" algn="ctr"/>
            <a:t>5</a:t>
          </a:fld>
          <a:endParaRPr lang="en-GB" sz="2400" b="0" i="0" u="none" strike="noStrike">
            <a:solidFill>
              <a:schemeClr val="accent1"/>
            </a:solidFill>
            <a:latin typeface="Segoe UI" panose="020B0502040204020203" pitchFamily="34" charset="0"/>
            <a:ea typeface="+mn-ea"/>
            <a:cs typeface="Segoe UI" panose="020B0502040204020203" pitchFamily="34" charset="0"/>
          </a:endParaRPr>
        </a:p>
      </xdr:txBody>
    </xdr:sp>
    <xdr:clientData/>
  </xdr:twoCellAnchor>
  <xdr:twoCellAnchor>
    <xdr:from>
      <xdr:col>11</xdr:col>
      <xdr:colOff>444500</xdr:colOff>
      <xdr:row>9</xdr:row>
      <xdr:rowOff>127000</xdr:rowOff>
    </xdr:from>
    <xdr:to>
      <xdr:col>12</xdr:col>
      <xdr:colOff>958850</xdr:colOff>
      <xdr:row>10</xdr:row>
      <xdr:rowOff>146050</xdr:rowOff>
    </xdr:to>
    <xdr:sp macro="" textlink="">
      <xdr:nvSpPr>
        <xdr:cNvPr id="41" name="TextBox 40">
          <a:extLst>
            <a:ext uri="{FF2B5EF4-FFF2-40B4-BE49-F238E27FC236}">
              <a16:creationId xmlns:a16="http://schemas.microsoft.com/office/drawing/2014/main" id="{A4CAF05E-163C-43E9-835A-4F28A2729FDF}"/>
            </a:ext>
          </a:extLst>
        </xdr:cNvPr>
        <xdr:cNvSpPr txBox="1"/>
      </xdr:nvSpPr>
      <xdr:spPr>
        <a:xfrm>
          <a:off x="10922000" y="2336800"/>
          <a:ext cx="15367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900" b="1">
              <a:solidFill>
                <a:schemeClr val="dk1"/>
              </a:solidFill>
              <a:effectLst/>
              <a:latin typeface="Segoe UI" panose="020B0502040204020203" pitchFamily="34" charset="0"/>
              <a:ea typeface="+mn-ea"/>
              <a:cs typeface="Segoe UI" panose="020B0502040204020203" pitchFamily="34" charset="0"/>
            </a:rPr>
            <a:t>Current Portfolio</a:t>
          </a:r>
        </a:p>
      </xdr:txBody>
    </xdr:sp>
    <xdr:clientData/>
  </xdr:twoCellAnchor>
  <xdr:twoCellAnchor>
    <xdr:from>
      <xdr:col>9</xdr:col>
      <xdr:colOff>495300</xdr:colOff>
      <xdr:row>9</xdr:row>
      <xdr:rowOff>146050</xdr:rowOff>
    </xdr:from>
    <xdr:to>
      <xdr:col>10</xdr:col>
      <xdr:colOff>806450</xdr:colOff>
      <xdr:row>10</xdr:row>
      <xdr:rowOff>101600</xdr:rowOff>
    </xdr:to>
    <xdr:sp macro="" textlink="">
      <xdr:nvSpPr>
        <xdr:cNvPr id="42" name="TextBox 41">
          <a:extLst>
            <a:ext uri="{FF2B5EF4-FFF2-40B4-BE49-F238E27FC236}">
              <a16:creationId xmlns:a16="http://schemas.microsoft.com/office/drawing/2014/main" id="{67CBA297-5C75-41F7-B4AA-BA0ED663B3B5}"/>
            </a:ext>
          </a:extLst>
        </xdr:cNvPr>
        <xdr:cNvSpPr txBox="1"/>
      </xdr:nvSpPr>
      <xdr:spPr>
        <a:xfrm>
          <a:off x="8928100" y="2355850"/>
          <a:ext cx="1333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900" b="1">
              <a:solidFill>
                <a:schemeClr val="dk1"/>
              </a:solidFill>
              <a:effectLst/>
              <a:latin typeface="Segoe UI" panose="020B0502040204020203" pitchFamily="34" charset="0"/>
              <a:ea typeface="+mn-ea"/>
              <a:cs typeface="Segoe UI" panose="020B0502040204020203" pitchFamily="34" charset="0"/>
            </a:rPr>
            <a:t>10% Target</a:t>
          </a:r>
        </a:p>
      </xdr:txBody>
    </xdr:sp>
    <xdr:clientData/>
  </xdr:twoCellAnchor>
  <xdr:twoCellAnchor>
    <xdr:from>
      <xdr:col>1</xdr:col>
      <xdr:colOff>0</xdr:colOff>
      <xdr:row>11</xdr:row>
      <xdr:rowOff>0</xdr:rowOff>
    </xdr:from>
    <xdr:to>
      <xdr:col>7</xdr:col>
      <xdr:colOff>19050</xdr:colOff>
      <xdr:row>26</xdr:row>
      <xdr:rowOff>6350</xdr:rowOff>
    </xdr:to>
    <xdr:graphicFrame macro="">
      <xdr:nvGraphicFramePr>
        <xdr:cNvPr id="44" name="Chart 43">
          <a:extLst>
            <a:ext uri="{FF2B5EF4-FFF2-40B4-BE49-F238E27FC236}">
              <a16:creationId xmlns:a16="http://schemas.microsoft.com/office/drawing/2014/main" id="{8DA4B0FD-FF01-4EB2-A281-814CFA25E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241301</xdr:colOff>
      <xdr:row>27</xdr:row>
      <xdr:rowOff>0</xdr:rowOff>
    </xdr:from>
    <xdr:to>
      <xdr:col>6</xdr:col>
      <xdr:colOff>1003301</xdr:colOff>
      <xdr:row>41</xdr:row>
      <xdr:rowOff>158750</xdr:rowOff>
    </xdr:to>
    <xdr:graphicFrame macro="">
      <xdr:nvGraphicFramePr>
        <xdr:cNvPr id="45" name="Chart 44">
          <a:extLst>
            <a:ext uri="{FF2B5EF4-FFF2-40B4-BE49-F238E27FC236}">
              <a16:creationId xmlns:a16="http://schemas.microsoft.com/office/drawing/2014/main" id="{AAF8799D-DE5B-463C-BB5F-A357CA557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27</xdr:row>
      <xdr:rowOff>19050</xdr:rowOff>
    </xdr:from>
    <xdr:to>
      <xdr:col>12</xdr:col>
      <xdr:colOff>1003300</xdr:colOff>
      <xdr:row>41</xdr:row>
      <xdr:rowOff>158750</xdr:rowOff>
    </xdr:to>
    <xdr:graphicFrame macro="">
      <xdr:nvGraphicFramePr>
        <xdr:cNvPr id="46" name="Chart 45">
          <a:extLst>
            <a:ext uri="{FF2B5EF4-FFF2-40B4-BE49-F238E27FC236}">
              <a16:creationId xmlns:a16="http://schemas.microsoft.com/office/drawing/2014/main" id="{1F34C546-CBCE-49DF-AB53-8CF2F0A69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79375</xdr:colOff>
      <xdr:row>43</xdr:row>
      <xdr:rowOff>0</xdr:rowOff>
    </xdr:from>
    <xdr:to>
      <xdr:col>13</xdr:col>
      <xdr:colOff>39688</xdr:colOff>
      <xdr:row>55</xdr:row>
      <xdr:rowOff>0</xdr:rowOff>
    </xdr:to>
    <xdr:sp macro="" textlink="">
      <xdr:nvSpPr>
        <xdr:cNvPr id="47" name="TextBox 46">
          <a:extLst>
            <a:ext uri="{FF2B5EF4-FFF2-40B4-BE49-F238E27FC236}">
              <a16:creationId xmlns:a16="http://schemas.microsoft.com/office/drawing/2014/main" id="{5B5967EE-3626-4F2D-AF22-02DFF45A3CFD}"/>
            </a:ext>
          </a:extLst>
        </xdr:cNvPr>
        <xdr:cNvSpPr txBox="1"/>
      </xdr:nvSpPr>
      <xdr:spPr>
        <a:xfrm>
          <a:off x="4500563" y="11112500"/>
          <a:ext cx="8151813" cy="3143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r>
            <a:rPr lang="en-GB" sz="1300" b="1" i="0" u="none" strike="noStrike" kern="1200" baseline="0">
              <a:ln>
                <a:solidFill>
                  <a:schemeClr val="tx1"/>
                </a:solidFill>
              </a:ln>
              <a:solidFill>
                <a:schemeClr val="bg2">
                  <a:lumMod val="10000"/>
                </a:schemeClr>
              </a:solidFill>
              <a:latin typeface="Segoe UI" panose="020B0502040204020203" pitchFamily="34" charset="0"/>
              <a:ea typeface="+mn-ea"/>
              <a:cs typeface="Segoe UI" panose="020B0502040204020203" pitchFamily="34" charset="0"/>
            </a:rPr>
            <a:t>COMMERCIAL INSIGHTS</a:t>
          </a:r>
        </a:p>
        <a:p>
          <a:pPr algn="l" rtl="0">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endParaRPr lang="en-GB" sz="1300" b="1" i="0" u="none" strike="noStrike" kern="1200" baseline="0">
            <a:ln>
              <a:solidFill>
                <a:schemeClr val="tx1"/>
              </a:solidFill>
            </a:ln>
            <a:solidFill>
              <a:schemeClr val="bg2">
                <a:lumMod val="10000"/>
              </a:schemeClr>
            </a:solidFill>
            <a:latin typeface="Segoe UI" panose="020B0502040204020203" pitchFamily="34" charset="0"/>
            <a:ea typeface="+mn-ea"/>
            <a:cs typeface="Segoe UI" panose="020B0502040204020203" pitchFamily="34" charset="0"/>
          </a:endParaRPr>
        </a:p>
        <a:p>
          <a:pPr algn="l" rtl="0">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r>
            <a:rPr lang="en-GB" sz="1300" b="1" i="0" u="none" strike="noStrike" kern="1200" baseline="0">
              <a:ln>
                <a:noFill/>
              </a:ln>
              <a:solidFill>
                <a:schemeClr val="bg2">
                  <a:lumMod val="10000"/>
                </a:schemeClr>
              </a:solidFill>
              <a:latin typeface="Segoe UI" panose="020B0502040204020203" pitchFamily="34" charset="0"/>
              <a:ea typeface="+mn-ea"/>
              <a:cs typeface="Segoe UI" panose="020B0502040204020203" pitchFamily="34" charset="0"/>
            </a:rPr>
            <a:t>• Materials account for 40.5% of portfolio spend.</a:t>
          </a:r>
        </a:p>
        <a:p>
          <a:pPr algn="l" rtl="0">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endParaRPr lang="en-GB" sz="1300" b="1" i="0" u="none" strike="noStrike" kern="1200" baseline="0">
            <a:ln>
              <a:noFill/>
            </a:ln>
            <a:solidFill>
              <a:schemeClr val="bg2">
                <a:lumMod val="10000"/>
              </a:schemeClr>
            </a:solidFill>
            <a:latin typeface="Segoe UI" panose="020B0502040204020203" pitchFamily="34" charset="0"/>
            <a:ea typeface="+mn-ea"/>
            <a:cs typeface="Segoe UI" panose="020B0502040204020203" pitchFamily="34" charset="0"/>
          </a:endParaRPr>
        </a:p>
        <a:p>
          <a:pPr algn="l" rtl="0">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r>
            <a:rPr lang="en-GB" sz="1300" b="1" i="0" u="none" strike="noStrike" kern="1200" baseline="0">
              <a:ln>
                <a:noFill/>
              </a:ln>
              <a:solidFill>
                <a:schemeClr val="bg2">
                  <a:lumMod val="10000"/>
                </a:schemeClr>
              </a:solidFill>
              <a:latin typeface="Segoe UI" panose="020B0502040204020203" pitchFamily="34" charset="0"/>
              <a:ea typeface="+mn-ea"/>
              <a:cs typeface="Segoe UI" panose="020B0502040204020203" pitchFamily="34" charset="0"/>
            </a:rPr>
            <a:t>• BuildForce Labour remains the largest supplier (£283k).</a:t>
          </a:r>
        </a:p>
        <a:p>
          <a:pPr algn="l" rtl="0">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endParaRPr lang="en-GB" sz="1300" b="1" i="0" u="none" strike="noStrike" kern="1200" baseline="0">
            <a:ln>
              <a:noFill/>
            </a:ln>
            <a:solidFill>
              <a:schemeClr val="bg2">
                <a:lumMod val="10000"/>
              </a:schemeClr>
            </a:solidFill>
            <a:latin typeface="Segoe UI" panose="020B0502040204020203" pitchFamily="34" charset="0"/>
            <a:ea typeface="+mn-ea"/>
            <a:cs typeface="Segoe UI" panose="020B0502040204020203" pitchFamily="34" charset="0"/>
          </a:endParaRPr>
        </a:p>
        <a:p>
          <a:pPr algn="l" rtl="0">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r>
            <a:rPr lang="en-GB" sz="1300" b="1" i="0" u="none" strike="noStrike" kern="1200" baseline="0">
              <a:ln>
                <a:noFill/>
              </a:ln>
              <a:solidFill>
                <a:schemeClr val="bg2">
                  <a:lumMod val="10000"/>
                </a:schemeClr>
              </a:solidFill>
              <a:latin typeface="Segoe UI" panose="020B0502040204020203" pitchFamily="34" charset="0"/>
              <a:ea typeface="+mn-ea"/>
              <a:cs typeface="Segoe UI" panose="020B0502040204020203" pitchFamily="34" charset="0"/>
            </a:rPr>
            <a:t>• Overall portfolio utilisation is 14.9%.</a:t>
          </a:r>
        </a:p>
        <a:p>
          <a:pPr algn="l" rtl="0">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endParaRPr lang="en-GB" sz="1300" b="1" i="0" u="none" strike="noStrike" kern="1200" baseline="0">
            <a:ln>
              <a:noFill/>
            </a:ln>
            <a:solidFill>
              <a:schemeClr val="bg2">
                <a:lumMod val="10000"/>
              </a:schemeClr>
            </a:solidFill>
            <a:latin typeface="Segoe UI" panose="020B0502040204020203" pitchFamily="34" charset="0"/>
            <a:ea typeface="+mn-ea"/>
            <a:cs typeface="Segoe UI" panose="020B0502040204020203" pitchFamily="34" charset="0"/>
          </a:endParaRPr>
        </a:p>
        <a:p>
          <a:pPr algn="l" rtl="0">
            <a:defRPr lang="en-US" sz="16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r>
            <a:rPr lang="en-GB" sz="1300" b="1" i="0" u="none" strike="noStrike" kern="1200" baseline="0">
              <a:ln>
                <a:noFill/>
              </a:ln>
              <a:solidFill>
                <a:schemeClr val="bg2">
                  <a:lumMod val="10000"/>
                </a:schemeClr>
              </a:solidFill>
              <a:latin typeface="Segoe UI" panose="020B0502040204020203" pitchFamily="34" charset="0"/>
              <a:ea typeface="+mn-ea"/>
              <a:cs typeface="Segoe UI" panose="020B0502040204020203" pitchFamily="34" charset="0"/>
            </a:rPr>
            <a:t>• No projects currently exceed budget.</a:t>
          </a:r>
        </a:p>
      </xdr:txBody>
    </xdr:sp>
    <xdr:clientData/>
  </xdr:twoCellAnchor>
  <xdr:twoCellAnchor>
    <xdr:from>
      <xdr:col>7</xdr:col>
      <xdr:colOff>23813</xdr:colOff>
      <xdr:row>11</xdr:row>
      <xdr:rowOff>269874</xdr:rowOff>
    </xdr:from>
    <xdr:to>
      <xdr:col>12</xdr:col>
      <xdr:colOff>1008062</xdr:colOff>
      <xdr:row>26</xdr:row>
      <xdr:rowOff>87311</xdr:rowOff>
    </xdr:to>
    <xdr:graphicFrame macro="">
      <xdr:nvGraphicFramePr>
        <xdr:cNvPr id="35" name="Chart 34">
          <a:extLst>
            <a:ext uri="{FF2B5EF4-FFF2-40B4-BE49-F238E27FC236}">
              <a16:creationId xmlns:a16="http://schemas.microsoft.com/office/drawing/2014/main" id="{6A6C9524-5048-49E0-8FAA-60DB4C338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Yoga" refreshedDate="46224.625810185185" createdVersion="6" refreshedVersion="6" minRefreshableVersion="3" recordCount="28" xr:uid="{C1FFB04B-AB6E-4410-AA6C-A8FBD4313B70}">
  <cacheSource type="worksheet">
    <worksheetSource name="tblActualCosts"/>
  </cacheSource>
  <cacheFields count="11">
    <cacheField name="cat" numFmtId="14">
      <sharedItems containsSemiMixedTypes="0" containsNonDate="0" containsDate="1" containsString="0" minDate="2026-01-08T00:00:00" maxDate="2026-05-31T00:00:00"/>
    </cacheField>
    <cacheField name="Invoice No" numFmtId="0">
      <sharedItems/>
    </cacheField>
    <cacheField name="Project ID" numFmtId="0">
      <sharedItems/>
    </cacheField>
    <cacheField name="Project Name" numFmtId="0">
      <sharedItems count="5">
        <s v="Bridge Alpha"/>
        <s v="Water Main Bravo"/>
        <s v="Highway Charlie"/>
        <s v="Rail Extension Delta"/>
        <s v="Flood Defence Echo"/>
      </sharedItems>
    </cacheField>
    <cacheField name="Category ID" numFmtId="0">
      <sharedItems/>
    </cacheField>
    <cacheField name="Cost Category" numFmtId="0">
      <sharedItems count="6">
        <s v="Materials"/>
        <s v="Labour"/>
        <s v="Plant Hire"/>
        <s v="Subcontractors"/>
        <s v="Fuel &amp; Transport"/>
        <s v="Site Overheads"/>
      </sharedItems>
    </cacheField>
    <cacheField name="Supplier" numFmtId="0">
      <sharedItems count="26">
        <s v="Midland Steel Ltd"/>
        <s v="BuildForce Labour"/>
        <s v="Heavy Plant Hire Ltd"/>
        <s v="Concrete Solutions"/>
        <s v="Apex Structures"/>
        <s v="UK Fuel Services"/>
        <s v="SiteSafe Services"/>
        <s v="Aqua Civil Labour"/>
        <s v="Excavation Plant UK"/>
        <s v="PipeWorks UK"/>
        <s v="Utility Specialists Ltd"/>
        <s v="Fleet Transport UK"/>
        <s v="RoadStone Materials"/>
        <s v="Highway Plant Hire"/>
        <s v="Northern Civils Labour"/>
        <s v="Asphalt Direct"/>
        <s v="RoadMark Contractors"/>
        <s v="Northern Fuel Ltd"/>
        <s v="RailBuild Workforce"/>
        <s v="Track Materials UK"/>
        <s v="Rail Plant Hire Ltd"/>
        <s v="Rail Systems Ltd"/>
        <s v="FloodWorks Labour"/>
        <s v="Earthworks Plant Ltd"/>
        <s v="Environmental Civils Ltd"/>
        <s v="Barrier Systems UK"/>
      </sharedItems>
    </cacheField>
    <cacheField name="Description" numFmtId="0">
      <sharedItems/>
    </cacheField>
    <cacheField name="Amount" numFmtId="164">
      <sharedItems containsSemiMixedTypes="0" containsString="0" containsNumber="1" containsInteger="1" minValue="27000" maxValue="265000"/>
    </cacheField>
    <cacheField name="Month" numFmtId="17">
      <sharedItems containsSemiMixedTypes="0" containsNonDate="0" containsDate="1" containsString="0" minDate="2026-01-01T00:00:00" maxDate="2026-05-02T00:00:00" count="5">
        <d v="2026-01-01T00:00:00"/>
        <d v="2026-02-01T00:00:00"/>
        <d v="2026-03-01T00:00:00"/>
        <d v="2026-04-01T00:00:00"/>
        <d v="2026-05-01T00:00:00"/>
      </sharedItems>
      <fieldGroup par="10" base="9">
        <rangePr groupBy="days" startDate="2026-01-01T00:00:00" endDate="2026-05-02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6"/>
        </groupItems>
      </fieldGroup>
    </cacheField>
    <cacheField name="Months" numFmtId="0" databaseField="0">
      <fieldGroup base="9">
        <rangePr groupBy="months" startDate="2026-01-01T00:00:00" endDate="2026-05-02T00:00:00"/>
        <groupItems count="14">
          <s v="&lt;01/01/2026"/>
          <s v="Jan"/>
          <s v="Feb"/>
          <s v="Mar"/>
          <s v="Apr"/>
          <s v="May"/>
          <s v="Jun"/>
          <s v="Jul"/>
          <s v="Aug"/>
          <s v="Sep"/>
          <s v="Oct"/>
          <s v="Nov"/>
          <s v="Dec"/>
          <s v="&gt;02/05/2026"/>
        </groupItems>
      </fieldGroup>
    </cacheField>
  </cacheFields>
  <extLst>
    <ext xmlns:x14="http://schemas.microsoft.com/office/spreadsheetml/2009/9/main" uri="{725AE2AE-9491-48be-B2B4-4EB974FC3084}">
      <x14:pivotCacheDefinition pivotCacheId="15062116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Yoga" refreshedDate="46224.651977546295" createdVersion="6" refreshedVersion="6" minRefreshableVersion="3" recordCount="5" xr:uid="{DF026E84-67EF-4B41-967A-A13A48D4EBC6}">
  <cacheSource type="worksheet">
    <worksheetSource name="tblProjects"/>
  </cacheSource>
  <cacheFields count="10">
    <cacheField name="Project ID" numFmtId="0">
      <sharedItems count="5">
        <s v="P001"/>
        <s v="P002"/>
        <s v="P003"/>
        <s v="P004"/>
        <s v="P005"/>
      </sharedItems>
    </cacheField>
    <cacheField name="Project Name" numFmtId="0">
      <sharedItems/>
    </cacheField>
    <cacheField name="Client ID" numFmtId="0">
      <sharedItems/>
    </cacheField>
    <cacheField name="Project Manager" numFmtId="0">
      <sharedItems/>
    </cacheField>
    <cacheField name="Region" numFmtId="0">
      <sharedItems/>
    </cacheField>
    <cacheField name="Contract Value" numFmtId="164">
      <sharedItems containsSemiMixedTypes="0" containsString="0" containsNumber="1" containsInteger="1" minValue="2950000" maxValue="6100000"/>
    </cacheField>
    <cacheField name="Start Date" numFmtId="14">
      <sharedItems containsSemiMixedTypes="0" containsNonDate="0" containsDate="1" containsString="0" minDate="2026-01-01T00:00:00" maxDate="2026-05-02T00:00:00"/>
    </cacheField>
    <cacheField name="End Date" numFmtId="14">
      <sharedItems containsSemiMixedTypes="0" containsNonDate="0" containsDate="1" containsString="0" minDate="2026-10-31T00:00:00" maxDate="2027-04-01T00:00:00"/>
    </cacheField>
    <cacheField name="Status" numFmtId="0">
      <sharedItems/>
    </cacheField>
    <cacheField name="Client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d v="2026-01-08T00:00:00"/>
    <s v="INV-1001"/>
    <s v="P001"/>
    <x v="0"/>
    <s v="CAT02"/>
    <x v="0"/>
    <x v="0"/>
    <s v="Reinforcement steel"/>
    <n v="185000"/>
    <x v="0"/>
  </r>
  <r>
    <d v="2026-01-15T00:00:00"/>
    <s v="INV-1002"/>
    <s v="P001"/>
    <x v="0"/>
    <s v="CAT01"/>
    <x v="1"/>
    <x v="1"/>
    <s v="January site labour"/>
    <n v="98000"/>
    <x v="0"/>
  </r>
  <r>
    <d v="2026-01-22T00:00:00"/>
    <s v="INV-1003"/>
    <s v="P001"/>
    <x v="0"/>
    <s v="CAT03"/>
    <x v="2"/>
    <x v="2"/>
    <s v="Excavator hire"/>
    <n v="46000"/>
    <x v="0"/>
  </r>
  <r>
    <d v="2026-02-05T00:00:00"/>
    <s v="INV-1004"/>
    <s v="P001"/>
    <x v="0"/>
    <s v="CAT02"/>
    <x v="0"/>
    <x v="3"/>
    <s v="Structural concrete"/>
    <n v="142000"/>
    <x v="1"/>
  </r>
  <r>
    <d v="2026-02-18T00:00:00"/>
    <s v="INV-1005"/>
    <s v="P001"/>
    <x v="0"/>
    <s v="CAT04"/>
    <x v="3"/>
    <x v="4"/>
    <s v="Specialist steel installation"/>
    <n v="125000"/>
    <x v="1"/>
  </r>
  <r>
    <d v="2026-03-10T00:00:00"/>
    <s v="INV-1006"/>
    <s v="P001"/>
    <x v="0"/>
    <s v="CAT01"/>
    <x v="1"/>
    <x v="1"/>
    <s v="February and March labour"/>
    <n v="185000"/>
    <x v="2"/>
  </r>
  <r>
    <d v="2026-03-17T00:00:00"/>
    <s v="INV-1007"/>
    <s v="P001"/>
    <x v="0"/>
    <s v="CAT05"/>
    <x v="4"/>
    <x v="5"/>
    <s v="Diesel and transport"/>
    <n v="32000"/>
    <x v="2"/>
  </r>
  <r>
    <d v="2026-04-04T00:00:00"/>
    <s v="INV-1008"/>
    <s v="P001"/>
    <x v="0"/>
    <s v="CAT06"/>
    <x v="5"/>
    <x v="6"/>
    <s v="Site accommodation and security"/>
    <n v="48000"/>
    <x v="3"/>
  </r>
  <r>
    <d v="2026-02-21T00:00:00"/>
    <s v="INV-2001"/>
    <s v="P002"/>
    <x v="1"/>
    <s v="CAT01"/>
    <x v="1"/>
    <x v="7"/>
    <s v="Initial site labour"/>
    <n v="76000"/>
    <x v="1"/>
  </r>
  <r>
    <d v="2026-02-28T00:00:00"/>
    <s v="INV-2002"/>
    <s v="P002"/>
    <x v="1"/>
    <s v="CAT03"/>
    <x v="2"/>
    <x v="8"/>
    <s v="Trenching equipment"/>
    <n v="68000"/>
    <x v="1"/>
  </r>
  <r>
    <d v="2026-03-12T00:00:00"/>
    <s v="INV-2003"/>
    <s v="P002"/>
    <x v="1"/>
    <s v="CAT02"/>
    <x v="0"/>
    <x v="9"/>
    <s v="Water pipes"/>
    <n v="154000"/>
    <x v="2"/>
  </r>
  <r>
    <d v="2026-03-25T00:00:00"/>
    <s v="INV-2004"/>
    <s v="P002"/>
    <x v="1"/>
    <s v="CAT04"/>
    <x v="3"/>
    <x v="10"/>
    <s v="Specialist installation work"/>
    <n v="92000"/>
    <x v="2"/>
  </r>
  <r>
    <d v="2026-04-09T00:00:00"/>
    <s v="INV-2005"/>
    <s v="P002"/>
    <x v="1"/>
    <s v="CAT01"/>
    <x v="1"/>
    <x v="7"/>
    <s v="March labour"/>
    <n v="87000"/>
    <x v="3"/>
  </r>
  <r>
    <d v="2026-04-16T00:00:00"/>
    <s v="INV-2006"/>
    <s v="P002"/>
    <x v="1"/>
    <s v="CAT05"/>
    <x v="4"/>
    <x v="11"/>
    <s v="Fuel and delivery"/>
    <n v="27000"/>
    <x v="3"/>
  </r>
  <r>
    <d v="2026-03-05T00:00:00"/>
    <s v="INV-3001"/>
    <s v="P003"/>
    <x v="2"/>
    <s v="CAT02"/>
    <x v="0"/>
    <x v="12"/>
    <s v="Aggregates"/>
    <n v="265000"/>
    <x v="2"/>
  </r>
  <r>
    <d v="2026-03-18T00:00:00"/>
    <s v="INV-3002"/>
    <s v="P003"/>
    <x v="2"/>
    <s v="CAT03"/>
    <x v="2"/>
    <x v="13"/>
    <s v="Road rollers and plant"/>
    <n v="116000"/>
    <x v="2"/>
  </r>
  <r>
    <d v="2026-04-02T00:00:00"/>
    <s v="INV-3003"/>
    <s v="P003"/>
    <x v="2"/>
    <s v="CAT01"/>
    <x v="1"/>
    <x v="14"/>
    <s v="March labour"/>
    <n v="123000"/>
    <x v="3"/>
  </r>
  <r>
    <d v="2026-04-14T00:00:00"/>
    <s v="INV-3004"/>
    <s v="P003"/>
    <x v="2"/>
    <s v="CAT02"/>
    <x v="0"/>
    <x v="15"/>
    <s v="Asphalt materials"/>
    <n v="194000"/>
    <x v="3"/>
  </r>
  <r>
    <d v="2026-04-29T00:00:00"/>
    <s v="INV-3005"/>
    <s v="P003"/>
    <x v="2"/>
    <s v="CAT04"/>
    <x v="3"/>
    <x v="16"/>
    <s v="Specialist road works"/>
    <n v="138000"/>
    <x v="3"/>
  </r>
  <r>
    <d v="2026-05-08T00:00:00"/>
    <s v="INV-3006"/>
    <s v="P003"/>
    <x v="2"/>
    <s v="CAT05"/>
    <x v="4"/>
    <x v="17"/>
    <s v="Fuel"/>
    <n v="41000"/>
    <x v="4"/>
  </r>
  <r>
    <d v="2026-04-20T00:00:00"/>
    <s v="INV-4001"/>
    <s v="P004"/>
    <x v="3"/>
    <s v="CAT01"/>
    <x v="1"/>
    <x v="18"/>
    <s v="Initial labour"/>
    <n v="94000"/>
    <x v="3"/>
  </r>
  <r>
    <d v="2026-04-28T00:00:00"/>
    <s v="INV-4002"/>
    <s v="P004"/>
    <x v="3"/>
    <s v="CAT02"/>
    <x v="0"/>
    <x v="19"/>
    <s v="Rail materials"/>
    <n v="172000"/>
    <x v="3"/>
  </r>
  <r>
    <d v="2026-05-06T00:00:00"/>
    <s v="INV-4003"/>
    <s v="P004"/>
    <x v="3"/>
    <s v="CAT03"/>
    <x v="2"/>
    <x v="20"/>
    <s v="Specialist machinery"/>
    <n v="88000"/>
    <x v="4"/>
  </r>
  <r>
    <d v="2026-05-19T00:00:00"/>
    <s v="INV-4004"/>
    <s v="P004"/>
    <x v="3"/>
    <s v="CAT04"/>
    <x v="3"/>
    <x v="21"/>
    <s v="Signalling preparation"/>
    <n v="105000"/>
    <x v="4"/>
  </r>
  <r>
    <d v="2026-05-09T00:00:00"/>
    <s v="INV-5001"/>
    <s v="P005"/>
    <x v="4"/>
    <s v="CAT01"/>
    <x v="1"/>
    <x v="22"/>
    <s v="Site preparation labour"/>
    <n v="62000"/>
    <x v="4"/>
  </r>
  <r>
    <d v="2026-05-16T00:00:00"/>
    <s v="INV-5002"/>
    <s v="P005"/>
    <x v="4"/>
    <s v="CAT03"/>
    <x v="2"/>
    <x v="23"/>
    <s v="Earthmoving equipment"/>
    <n v="74000"/>
    <x v="4"/>
  </r>
  <r>
    <d v="2026-05-23T00:00:00"/>
    <s v="INV-5003"/>
    <s v="P005"/>
    <x v="4"/>
    <s v="CAT04"/>
    <x v="3"/>
    <x v="24"/>
    <s v="Specialist flood works"/>
    <n v="83000"/>
    <x v="4"/>
  </r>
  <r>
    <d v="2026-05-30T00:00:00"/>
    <s v="INV-5004"/>
    <s v="P005"/>
    <x v="4"/>
    <s v="CAT02"/>
    <x v="0"/>
    <x v="25"/>
    <s v="Flood barrier materials"/>
    <n v="12100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s v="Bridge Alpha"/>
    <s v="C001"/>
    <s v="James Carter"/>
    <s v="Midlands"/>
    <n v="5200000"/>
    <d v="2026-01-01T00:00:00"/>
    <d v="2026-10-31T00:00:00"/>
    <s v="Active"/>
    <s v="Network Rail"/>
  </r>
  <r>
    <x v="1"/>
    <s v="Water Main Bravo"/>
    <s v="C002"/>
    <s v="Sarah Ahmed"/>
    <s v="South East"/>
    <n v="3800000"/>
    <d v="2026-02-15T00:00:00"/>
    <d v="2026-12-15T00:00:00"/>
    <s v="Active"/>
    <s v="Thames Water"/>
  </r>
  <r>
    <x v="2"/>
    <s v="Highway Charlie"/>
    <s v="C003"/>
    <s v="Michael Green"/>
    <s v="North West"/>
    <n v="6100000"/>
    <d v="2026-03-01T00:00:00"/>
    <d v="2027-01-31T00:00:00"/>
    <s v="Active"/>
    <s v="National Highways"/>
  </r>
  <r>
    <x v="3"/>
    <s v="Rail Extension Delta"/>
    <s v="C001"/>
    <s v="Emma Lewis"/>
    <s v="Midlands"/>
    <n v="4700000"/>
    <d v="2026-04-15T00:00:00"/>
    <d v="2027-03-31T00:00:00"/>
    <s v="Active"/>
    <s v="Network Rail"/>
  </r>
  <r>
    <x v="4"/>
    <s v="Flood Defence Echo"/>
    <s v="C004"/>
    <s v="Daniel Hughes"/>
    <s v="South West"/>
    <n v="2950000"/>
    <d v="2026-05-01T00:00:00"/>
    <d v="2026-11-30T00:00:00"/>
    <s v="Planning"/>
    <s v="Environment Agenc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16F151-759C-43F3-8FA2-51F50C078228}" name="PivotTable3"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A26:B32" firstHeaderRow="1" firstDataRow="1" firstDataCol="1" rowPageCount="1" colPageCount="1"/>
  <pivotFields count="11">
    <pivotField compact="0" numFmtId="14" outline="0" showAll="0"/>
    <pivotField compact="0" outline="0" showAll="0"/>
    <pivotField compact="0" outline="0" showAll="0"/>
    <pivotField axis="axisPage" compact="0" outline="0" showAll="0">
      <items count="6">
        <item x="0"/>
        <item x="4"/>
        <item x="2"/>
        <item x="3"/>
        <item x="1"/>
        <item t="default"/>
      </items>
    </pivotField>
    <pivotField compact="0" outline="0" showAll="0"/>
    <pivotField compact="0" outline="0" showAll="0"/>
    <pivotField axis="axisRow" compact="0" outline="0" showAll="0" measureFilter="1" sortType="ascending">
      <items count="27">
        <item x="4"/>
        <item x="7"/>
        <item x="15"/>
        <item x="25"/>
        <item x="1"/>
        <item x="3"/>
        <item x="23"/>
        <item x="24"/>
        <item x="8"/>
        <item x="11"/>
        <item x="22"/>
        <item x="2"/>
        <item x="13"/>
        <item x="0"/>
        <item x="14"/>
        <item x="17"/>
        <item x="9"/>
        <item x="20"/>
        <item x="21"/>
        <item x="18"/>
        <item x="16"/>
        <item x="12"/>
        <item x="6"/>
        <item x="19"/>
        <item x="5"/>
        <item x="10"/>
        <item t="default"/>
      </items>
      <autoSortScope>
        <pivotArea dataOnly="0" outline="0" fieldPosition="0">
          <references count="1">
            <reference field="4294967294" count="1" selected="0">
              <x v="0"/>
            </reference>
          </references>
        </pivotArea>
      </autoSortScope>
    </pivotField>
    <pivotField compact="0" outline="0" showAll="0"/>
    <pivotField dataField="1" compact="0" numFmtId="164" outline="0" showAll="0"/>
    <pivotField compact="0" numFmtId="17" outline="0" showAll="0"/>
    <pivotField compact="0" outline="0" showAll="0" defaultSubtotal="0"/>
  </pivotFields>
  <rowFields count="1">
    <field x="6"/>
  </rowFields>
  <rowItems count="6">
    <i>
      <x v="23"/>
    </i>
    <i>
      <x v="13"/>
    </i>
    <i>
      <x v="2"/>
    </i>
    <i>
      <x v="21"/>
    </i>
    <i>
      <x v="4"/>
    </i>
    <i t="grand">
      <x/>
    </i>
  </rowItems>
  <colItems count="1">
    <i/>
  </colItems>
  <pageFields count="1">
    <pageField fld="3" hier="-1"/>
  </pageFields>
  <dataFields count="1">
    <dataField name="Sum of Amount" fld="8" baseField="0" baseItem="0" numFmtId="164"/>
  </dataFields>
  <formats count="2">
    <format dxfId="35">
      <pivotArea outline="0" collapsedLevelsAreSubtotals="1" fieldPosition="0"/>
    </format>
    <format dxfId="34">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68F895-86C8-4B41-AAE0-BFE3CD63FCC3}" name="PivotTable2"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A15:B22" firstHeaderRow="1" firstDataRow="1" firstDataCol="1" rowPageCount="1" colPageCount="1"/>
  <pivotFields count="11">
    <pivotField compact="0" numFmtId="14" outline="0" showAll="0"/>
    <pivotField compact="0" outline="0" showAll="0"/>
    <pivotField compact="0" outline="0" showAll="0"/>
    <pivotField axis="axisPage" compact="0" outline="0" multipleItemSelectionAllowed="1" showAll="0">
      <items count="6">
        <item x="0"/>
        <item x="4"/>
        <item x="2"/>
        <item x="3"/>
        <item x="1"/>
        <item t="default"/>
      </items>
    </pivotField>
    <pivotField compact="0" outline="0" showAll="0"/>
    <pivotField axis="axisRow" compact="0" outline="0" showAll="0" sortType="descending">
      <items count="7">
        <item x="4"/>
        <item x="1"/>
        <item x="0"/>
        <item x="2"/>
        <item x="5"/>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numFmtId="164" outline="0" showAll="0"/>
    <pivotField compact="0" numFmtId="17" outline="0" showAll="0"/>
    <pivotField compact="0" outline="0" showAll="0" defaultSubtotal="0"/>
  </pivotFields>
  <rowFields count="1">
    <field x="5"/>
  </rowFields>
  <rowItems count="7">
    <i>
      <x v="2"/>
    </i>
    <i>
      <x v="1"/>
    </i>
    <i>
      <x v="5"/>
    </i>
    <i>
      <x v="3"/>
    </i>
    <i>
      <x/>
    </i>
    <i>
      <x v="4"/>
    </i>
    <i t="grand">
      <x/>
    </i>
  </rowItems>
  <colItems count="1">
    <i/>
  </colItems>
  <pageFields count="1">
    <pageField fld="3" hier="-1"/>
  </pageFields>
  <dataFields count="1">
    <dataField name="Sum of Amount" fld="8" baseField="0" baseItem="0" numFmtId="164"/>
  </dataFields>
  <formats count="2">
    <format dxfId="1">
      <pivotArea outline="0" collapsedLevelsAreSubtotals="1" fieldPosition="0"/>
    </format>
    <format dxfId="2">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DDE78-9D1E-4E07-8C73-E70BF434D030}"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A3:B9" firstHeaderRow="1" firstDataRow="1" firstDataCol="1"/>
  <pivotFields count="11">
    <pivotField compact="0" numFmtId="14" outline="0" showAll="0"/>
    <pivotField compact="0" outline="0" showAll="0"/>
    <pivotField compact="0" outline="0" showAll="0"/>
    <pivotField compact="0" outline="0" showAll="0">
      <items count="6">
        <item x="0"/>
        <item x="4"/>
        <item x="2"/>
        <item x="3"/>
        <item x="1"/>
        <item t="default"/>
      </items>
    </pivotField>
    <pivotField compact="0" outline="0" showAll="0"/>
    <pivotField compact="0" outline="0" showAll="0">
      <items count="7">
        <item x="4"/>
        <item x="1"/>
        <item x="0"/>
        <item x="2"/>
        <item x="5"/>
        <item x="3"/>
        <item t="default"/>
      </items>
    </pivotField>
    <pivotField compact="0" outline="0" showAll="0"/>
    <pivotField compact="0" outline="0" showAll="0"/>
    <pivotField dataField="1" compact="0" numFmtId="164" outline="0" showAll="0"/>
    <pivotField axis="axisRow" compact="0" numFmtId="17" outline="0" showAll="0" sortType="descending">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autoSortScope>
        <pivotArea dataOnly="0" outline="0" fieldPosition="0">
          <references count="1">
            <reference field="4294967294" count="1" selected="0">
              <x v="0"/>
            </reference>
          </references>
        </pivotArea>
      </autoSortScope>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v="92"/>
    </i>
    <i>
      <x v="61"/>
    </i>
    <i>
      <x v="122"/>
    </i>
    <i>
      <x v="32"/>
    </i>
    <i>
      <x v="1"/>
    </i>
    <i t="grand">
      <x/>
    </i>
  </rowItems>
  <colItems count="1">
    <i/>
  </colItems>
  <dataFields count="1">
    <dataField name="Sum of Amount" fld="8" baseField="0" baseItem="0"/>
  </dataFields>
  <formats count="1">
    <format dxfId="0">
      <pivotArea grandCol="1" outline="0" collapsedLevelsAreSubtotals="1" fieldPosition="0"/>
    </format>
  </formats>
  <chartFormats count="2">
    <chartFormat chart="4" format="25"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D84556-725A-4DBE-9F75-365B2D04D5FD}"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9:B45" firstHeaderRow="1" firstDataRow="1" firstDataCol="1"/>
  <pivotFields count="10">
    <pivotField axis="axisRow" dataField="1" showAll="0">
      <items count="6">
        <item x="0"/>
        <item x="1"/>
        <item x="2"/>
        <item x="3"/>
        <item x="4"/>
        <item t="default"/>
      </items>
    </pivotField>
    <pivotField showAll="0"/>
    <pivotField showAll="0"/>
    <pivotField showAll="0"/>
    <pivotField showAll="0"/>
    <pivotField numFmtId="164" showAll="0"/>
    <pivotField numFmtId="14" showAll="0"/>
    <pivotField numFmtId="14" showAll="0"/>
    <pivotField showAll="0"/>
    <pivotField showAll="0"/>
  </pivotFields>
  <rowFields count="1">
    <field x="0"/>
  </rowFields>
  <rowItems count="6">
    <i>
      <x/>
    </i>
    <i>
      <x v="1"/>
    </i>
    <i>
      <x v="2"/>
    </i>
    <i>
      <x v="3"/>
    </i>
    <i>
      <x v="4"/>
    </i>
    <i t="grand">
      <x/>
    </i>
  </rowItems>
  <colItems count="1">
    <i/>
  </colItems>
  <dataFields count="1">
    <dataField name="Count of Projec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1" xr10:uid="{1F8E0AC4-01EF-4931-9C2C-3F8A7AD50A7A}" sourceName="Project Name">
  <pivotTables>
    <pivotTable tabId="13" name="PivotTable2"/>
    <pivotTable tabId="13" name="PivotTable1"/>
    <pivotTable tabId="13" name="PivotTable3"/>
  </pivotTables>
  <data>
    <tabular pivotCacheId="1506211600">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Category" xr10:uid="{5C7D62DD-87B4-440D-A49C-0E0E317CA3D5}" sourceName="Cost Category">
  <pivotTables>
    <pivotTable tabId="13" name="PivotTable2"/>
    <pivotTable tabId="13" name="PivotTable1"/>
  </pivotTables>
  <data>
    <tabular pivotCacheId="1506211600">
      <items count="6">
        <i x="4" s="1"/>
        <i x="1" s="1"/>
        <i x="0" s="1"/>
        <i x="2"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xr10:uid="{BC12A5C4-74E4-44EF-A24C-F80AAFBE4172}" cache="Slicer_Project_Name1" caption="Project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1" xr10:uid="{D2C1E4B0-18B6-4B01-984C-0D40D8978722}" cache="Slicer_Project_Name1" caption="Project Name" columnCount="5" rowHeight="241300"/>
  <slicer name="Cost Category" xr10:uid="{523B12D7-A923-4528-AF8B-DCD77686F446}" cache="Slicer_Cost_Category" caption="Cost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2" xr10:uid="{A593F3BA-AB15-41F6-8F4B-A653627C3130}" cache="Slicer_Project_Name1" caption="Project Name" columnCount="2" rowHeight="241300"/>
  <slicer name="Cost Category 1" xr10:uid="{017D14B5-396B-414B-A666-65B48406E2C3}" cache="Slicer_Cost_Category" caption="Cost 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DB8C46-2197-4C2E-AC15-6CFB6BFE0436}" name="tblProjects" displayName="tblProjects" ref="A1:J7" totalsRowCount="1" headerRowDxfId="126">
  <autoFilter ref="A1:J6" xr:uid="{BAB679C7-3B63-48FC-BC2C-5618649A2127}"/>
  <tableColumns count="10">
    <tableColumn id="1" xr3:uid="{2DDFD02B-1F70-4D9F-9FC8-86B13BABEDDE}" name="Project ID" dataDxfId="125" totalsRowDxfId="124"/>
    <tableColumn id="2" xr3:uid="{2DCF971C-C6E8-45D9-A8AB-75D2B9413BFE}" name="Project Name" dataDxfId="123" totalsRowDxfId="122"/>
    <tableColumn id="3" xr3:uid="{1448A114-CEED-4AAF-B511-43B9DCB37784}" name="Client ID" dataDxfId="121" totalsRowDxfId="120"/>
    <tableColumn id="5" xr3:uid="{EBC526DD-6556-4ABF-9B9F-EDC86E549F70}" name="Project Manager" dataDxfId="119" totalsRowDxfId="118"/>
    <tableColumn id="6" xr3:uid="{0D40C8F9-3574-4B04-AA92-4F01B5B7F038}" name="Region" dataDxfId="117" totalsRowDxfId="116"/>
    <tableColumn id="7" xr3:uid="{1660CF0E-BBE6-4F61-8694-2336A944F4B6}" name="Contract Value" totalsRowFunction="sum" dataDxfId="115" totalsRowDxfId="114"/>
    <tableColumn id="8" xr3:uid="{09F3B872-C262-46FC-9B7E-B37C2D06029B}" name="Start Date" dataDxfId="113" totalsRowDxfId="112"/>
    <tableColumn id="9" xr3:uid="{9E49E636-96DE-496D-9E19-95B052840843}" name="End Date" dataDxfId="111" totalsRowDxfId="110"/>
    <tableColumn id="10" xr3:uid="{12F08982-06A3-40CE-892E-DD981D3343C5}" name="Status" dataDxfId="109" totalsRowDxfId="108"/>
    <tableColumn id="11" xr3:uid="{E1EA92ED-E084-42A7-B3CD-E71185A1A9B2}" name="Client Name" dataDxfId="107">
      <calculatedColumnFormula>_xll.XLOOKUP(tblProjects[[#This Row],[Client ID]],tblClients[Client ID],tblClients[Client Name],"Not Found")</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4389FC-E05C-4024-845E-68330C36A4FC}" name="tblClients" displayName="tblClients" ref="A1:E5" totalsRowShown="0" headerRowDxfId="106" dataDxfId="105">
  <autoFilter ref="A1:E5" xr:uid="{4C53695B-26CA-42C0-B485-3FD75324A65D}"/>
  <tableColumns count="5">
    <tableColumn id="1" xr3:uid="{F2E67182-1C64-4604-95F0-FC47C5F0FAAB}" name="Client ID" dataDxfId="104"/>
    <tableColumn id="2" xr3:uid="{B2D14A8A-3C0A-4293-9C63-E0C16C023CE9}" name="Client Name" dataDxfId="103"/>
    <tableColumn id="3" xr3:uid="{64B2BC20-4227-4A70-8C6D-94614C92BA83}" name="Contact Person" dataDxfId="102"/>
    <tableColumn id="4" xr3:uid="{920A96F6-9465-4A51-A867-11B13E1A72A5}" name="Email" dataDxfId="101" dataCellStyle="Hyperlink"/>
    <tableColumn id="5" xr3:uid="{110FE3CC-2A21-463D-984D-D3941BA725B8}" name="Phone" dataDxfId="100"/>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7A6E10-5A19-4FB1-AE95-84DEEEC587D7}" name="tblBudget" displayName="tblBudget" ref="A1:D36" totalsRowShown="0">
  <autoFilter ref="A1:D36" xr:uid="{9D324A7C-0BD2-4671-91F1-38AAF5D08B23}"/>
  <tableColumns count="4">
    <tableColumn id="1" xr3:uid="{B872296F-CCAB-4B76-ADF7-0EC33FD21482}" name="Project ID" dataDxfId="99"/>
    <tableColumn id="2" xr3:uid="{DE29718E-C345-4721-A454-E81B56BF2083}" name="Category ID" dataDxfId="98"/>
    <tableColumn id="4" xr3:uid="{272CB9DA-8D38-4305-82FC-BF0854910939}" name="Budget Amount" dataDxfId="97"/>
    <tableColumn id="5" xr3:uid="{4699245C-30EC-496E-B09C-290F7E592C17}" name="Cost Category" dataDxfId="96">
      <calculatedColumnFormula>_xll.XLOOKUP(tblBudget[[#This Row],[Category ID]],tblCostCategories[Category ID],tblCostCategories[Cost Category],"Category not found")</calculatedColumnFormula>
    </tableColumn>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14ECAF-D888-4A13-B182-BA6A8D0291BF}" name="tblCostCategories" displayName="tblCostCategories" ref="A1:B8" totalsRowShown="0">
  <autoFilter ref="A1:B8" xr:uid="{AC69D600-C4F6-46C9-A01A-619F9C84222E}"/>
  <tableColumns count="2">
    <tableColumn id="1" xr3:uid="{774C4BA7-9DFD-4358-887C-B89199A281EF}" name="Category ID" dataDxfId="95"/>
    <tableColumn id="2" xr3:uid="{8B484D42-A506-41BA-87AA-DA00AAA2A93A}" name="Cost Category" dataDxfId="94"/>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68D930-35CC-4C11-AF8F-35A1BAD8E0CB}" name="tblActualCosts" displayName="tblActualCosts" ref="A1:J29" headerRowDxfId="93" dataDxfId="92">
  <autoFilter ref="A1:J29" xr:uid="{FF10DC73-9B4B-4032-BCC6-6149C3770049}"/>
  <tableColumns count="10">
    <tableColumn id="1" xr3:uid="{AF187CFB-CB95-448A-92EC-78FCFB03DFD5}" name="cat" totalsRowLabel="Total" dataDxfId="91" totalsRowDxfId="90"/>
    <tableColumn id="2" xr3:uid="{ED83E4B3-B7EC-4F86-B42C-BD8ECB56924D}" name="Invoice No" dataDxfId="89" totalsRowDxfId="88"/>
    <tableColumn id="3" xr3:uid="{9C62BBE8-3332-4913-836E-82F7E33885D5}" name="Project ID" dataDxfId="87" totalsRowDxfId="86"/>
    <tableColumn id="4" xr3:uid="{E6410ADC-AD75-434F-B80C-EEB9ABC4E769}" name="Project Name" dataDxfId="85" totalsRowDxfId="84">
      <calculatedColumnFormula>_xll.XLOOKUP(tblActualCosts[[#This Row],[Project ID]],tblProjects[Project ID],tblProjects[Project Name],"Project Not Found")</calculatedColumnFormula>
    </tableColumn>
    <tableColumn id="5" xr3:uid="{8357ED7E-ED7B-49A7-92F4-B99810579AE9}" name="Category ID" dataDxfId="83" totalsRowDxfId="82"/>
    <tableColumn id="6" xr3:uid="{CEC6AA80-D772-43F8-9D2F-DAF7E18C54B5}" name="Cost Category" dataDxfId="81" totalsRowDxfId="80">
      <calculatedColumnFormula>_xll.XLOOKUP(tblActualCosts[[#This Row],[Category ID]],tblCostCategories[Category ID],tblCostCategories[Cost Category],"category Not Found")</calculatedColumnFormula>
    </tableColumn>
    <tableColumn id="7" xr3:uid="{B88D2F43-37B0-4AD2-9CA5-30425C9FB186}" name="Supplier" dataDxfId="79" totalsRowDxfId="78"/>
    <tableColumn id="8" xr3:uid="{E9E0E917-DB5C-4992-BE70-867FB67732B3}" name="Description" dataDxfId="77" totalsRowDxfId="76"/>
    <tableColumn id="9" xr3:uid="{04521B2A-EC7A-476D-90B5-733582B23436}" name="Amount" totalsRowFunction="sum" dataDxfId="75" totalsRowDxfId="74"/>
    <tableColumn id="10" xr3:uid="{928A7709-CC49-4A7B-B6B2-39D3FEAF479D}" name="Month" dataDxfId="73">
      <calculatedColumnFormula>EOMONTH(tblActualCosts[[#This Row],[cat]],-1)+1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37E732-1BDA-489F-85F0-3FD91F0D998A}" name="tblReconciliation" displayName="tblReconciliation" ref="A1:I7" totalsRowCount="1" headerRowDxfId="72" dataDxfId="71">
  <autoFilter ref="A1:I6" xr:uid="{C3063494-CE1D-4021-A2C0-9D8F2A137EE7}"/>
  <tableColumns count="9">
    <tableColumn id="1" xr3:uid="{8B3ED5D3-36D8-42A8-BC72-1AB1918C3F11}" name="Project ID" totalsRowLabel="Total" dataDxfId="70" totalsRowDxfId="69"/>
    <tableColumn id="2" xr3:uid="{178255AC-C93F-4DB4-838B-9EC2EA269FDD}" name="Project Name" dataDxfId="68" totalsRowDxfId="67">
      <calculatedColumnFormula>_xll.XLOOKUP(tblReconciliation[[#This Row],[Project ID]],tblProjects[Project ID],tblProjects[Project Name],"Project Not Found")</calculatedColumnFormula>
    </tableColumn>
    <tableColumn id="3" xr3:uid="{901752C7-B4FE-4C42-B0A7-DD54DA3B3A35}" name="Contract Value" totalsRowFunction="sum" dataDxfId="66" totalsRowDxfId="65">
      <calculatedColumnFormula>_xll.XLOOKUP(tblReconciliation[[#This Row],[Project ID]],tblProjects[Project ID],tblProjects[Contract Value],"Budget Not Found")</calculatedColumnFormula>
    </tableColumn>
    <tableColumn id="4" xr3:uid="{02968A17-A17F-4DEF-A2DE-FB10719A98E3}" name="Cost Budget" totalsRowFunction="sum" dataDxfId="64" totalsRowDxfId="63">
      <calculatedColumnFormula>SUMIFS(tblBudget[Budget Amount],tblBudget[Project ID],tblReconciliation[[#This Row],[Project ID]])</calculatedColumnFormula>
    </tableColumn>
    <tableColumn id="5" xr3:uid="{3C66BA75-A295-4732-959C-364218546D1A}" name="Planned Margin" totalsRowFunction="sum" dataDxfId="62" totalsRowDxfId="61">
      <calculatedColumnFormula>tblReconciliation[[#This Row],[Contract Value]]-tblReconciliation[[#This Row],[Cost Budget]]</calculatedColumnFormula>
    </tableColumn>
    <tableColumn id="6" xr3:uid="{BDF1221A-B889-4959-8FC7-F524E5E86228}" name="Margin %" dataDxfId="60" totalsRowDxfId="59">
      <calculatedColumnFormula>IFERROR(tblReconciliation[[#This Row],[Planned Margin]]/tblReconciliation[[#This Row],[Contract Value]],0)</calculatedColumnFormula>
    </tableColumn>
    <tableColumn id="7" xr3:uid="{16832128-8677-4C32-9845-BCA325BE21EC}" name="Actual Spend" totalsRowFunction="sum" dataDxfId="58" totalsRowDxfId="57">
      <calculatedColumnFormula>SUMIFS(tblActualCosts[Amount],tblActualCosts[Project ID],tblReconciliation[Project ID])</calculatedColumnFormula>
    </tableColumn>
    <tableColumn id="8" xr3:uid="{F756B752-9CBE-4596-AB03-6963AD5D05B3}" name="Remaining Budget" totalsRowFunction="sum" dataDxfId="56" totalsRowDxfId="55">
      <calculatedColumnFormula>tblReconciliation[[#This Row],[Cost Budget]]-tblReconciliation[[#This Row],[Actual Spend]]</calculatedColumnFormula>
    </tableColumn>
    <tableColumn id="9" xr3:uid="{291AC0A3-4550-4605-8CD8-E05B86FE501B}" name="Budget Used %" dataDxfId="54" totalsRowDxfId="53">
      <calculatedColumnFormula>IFERROR(tblReconciliation[[#This Row],[Actual Spend]]/tblReconciliation[[#This Row],[Cost Budget]],0)</calculatedColumnFormula>
    </tableColumn>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7305EF-7318-4F8D-B537-244F880CCBBB}" name="tblVariance" displayName="tblVariance" ref="A1:I37" totalsRowCount="1" headerRowDxfId="52">
  <autoFilter ref="A1:I36" xr:uid="{4C4A8755-9979-4304-87DF-69B76A1A7145}"/>
  <tableColumns count="9">
    <tableColumn id="1" xr3:uid="{C3EEEFA6-53DE-4164-B868-86CCFFA1B829}" name="Project ID" totalsRowLabel="Total" dataDxfId="51" totalsRowDxfId="50"/>
    <tableColumn id="2" xr3:uid="{6025D64C-7244-45D1-91C5-B9040607C17A}" name="Project Name" dataDxfId="49">
      <calculatedColumnFormula>_xll.XLOOKUP(tblVariance[[#This Row],[Project ID]],tblProjects[Project ID],tblProjects[Project Name],"Project not found")</calculatedColumnFormula>
    </tableColumn>
    <tableColumn id="3" xr3:uid="{CB01E822-8AD8-4EFE-91BF-9AFDDB642F5F}" name="Category ID" dataDxfId="48" totalsRowDxfId="47"/>
    <tableColumn id="4" xr3:uid="{C3F9A360-4C43-49F3-B254-3214F53FDE94}" name="Cost Category" dataDxfId="46" totalsRowDxfId="45">
      <calculatedColumnFormula>_xll.XLOOKUP(tblVariance[[#This Row],[Category ID]],tblCostCategories[Category ID],tblCostCategories[Cost Category],"Category Not Found")</calculatedColumnFormula>
    </tableColumn>
    <tableColumn id="5" xr3:uid="{AA21F744-51B2-4365-8CBF-FDD7EE340B9B}" name="Budget" totalsRowFunction="sum" dataDxfId="44" totalsRowDxfId="43">
      <calculatedColumnFormula>SUMIFS(tblBudget[Budget Amount],tblBudget[Project ID],tblVariance[[#This Row],[Project ID]],tblBudget[Category ID], tblVariance[[#This Row],[Category ID]])</calculatedColumnFormula>
    </tableColumn>
    <tableColumn id="6" xr3:uid="{5C7D9B07-32FA-4BF7-A57C-DA8EBFEF809D}" name="Actual Cost" totalsRowFunction="sum" dataDxfId="42" totalsRowDxfId="41">
      <calculatedColumnFormula>SUMIFS(tblActualCosts[Amount],tblActualCosts[Project ID],tblVariance[[#This Row],[Project ID]],tblActualCosts[Category ID],tblVariance[[#This Row],[Category ID]])</calculatedColumnFormula>
    </tableColumn>
    <tableColumn id="7" xr3:uid="{F1F3071A-F276-4C42-8B88-6BEA49FBB532}" name="Remaining Budget" totalsRowFunction="sum" dataDxfId="40" totalsRowDxfId="39">
      <calculatedColumnFormula>tblVariance[[#This Row],[Budget]]-tblVariance[[#This Row],[Actual Cost]]</calculatedColumnFormula>
    </tableColumn>
    <tableColumn id="8" xr3:uid="{59658172-05D3-49BD-A7E5-D9291D914782}" name="Budget Used %" totalsRowFunction="custom" dataDxfId="38" totalsRowDxfId="37">
      <calculatedColumnFormula>IFERROR(tblVariance[[#This Row],[Actual Cost]]/tblVariance[[#This Row],[Budget]],0)</calculatedColumnFormula>
      <totalsRowFormula>tblVariance[[#Totals],[Actual Cost]]/tblVariance[[#Totals],[Budget]]</totalsRowFormula>
    </tableColumn>
    <tableColumn id="9" xr3:uid="{CF250D60-E739-46F5-936C-E5AB7AC3EEC2}" name="Variance Status" dataDxfId="36">
      <calculatedColumnFormula>IF(tblVariance[[#This Row],[Actual Cost]]&gt;tblVariance[[#This Row],[Budget]],"Over Budget",IF(tblVariance[[#This Row],[Budget Used %]]&gt;=0.8,"High Usage",IF(tblVariance[[#This Row],[Budget Used %]]&gt;=0.5,"Monitor","Within Budget")))</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470919-9BFF-43E5-91B5-4C736CDE843C}" name="Table8" displayName="Table8" ref="A1:B12" totalsRowShown="0" headerRowDxfId="33" dataDxfId="32">
  <autoFilter ref="A1:B12" xr:uid="{77F20725-6212-47EC-825C-A32A19C11E2B}"/>
  <tableColumns count="2">
    <tableColumn id="1" xr3:uid="{3A34767F-B229-4D10-9A52-350563448EF5}" name="KPI" dataDxfId="31"/>
    <tableColumn id="2" xr3:uid="{27F9AAD0-E28B-4ECD-A179-E76FAEE66095}" name="Formula" dataDxfId="3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627E8AB-2B6E-4267-A381-4EEBE8420047}" name="Table9" displayName="Table9" ref="A16:F21" totalsRowShown="0">
  <autoFilter ref="A16:F21" xr:uid="{7CC7C25C-EBC2-4F6F-9DBA-4A81FBA16987}"/>
  <tableColumns count="6">
    <tableColumn id="1" xr3:uid="{C9841663-C059-49D1-BDCE-AF17D79BE5B8}" name="project ID" dataDxfId="29"/>
    <tableColumn id="2" xr3:uid="{532348DA-8DFD-4293-84AF-0D3A95F6BCD2}" name="Project">
      <calculatedColumnFormula>_xll.XLOOKUP(A17,tblProjects[Project ID],tblProjects[Project Name])</calculatedColumnFormula>
    </tableColumn>
    <tableColumn id="3" xr3:uid="{109F8A30-CB08-4F69-BE06-D730B79F22DA}" name="Budget" dataDxfId="28">
      <calculatedColumnFormula>_xll.XLOOKUP(Table9[[#This Row],[project ID]],tblReconciliation[Project ID],tblReconciliation[Cost Budget])</calculatedColumnFormula>
    </tableColumn>
    <tableColumn id="4" xr3:uid="{85AAF915-378D-48DD-848D-ABB108B56917}" name="Actual" dataDxfId="27">
      <calculatedColumnFormula>_xll.XLOOKUP(Table9[[#This Row],[project ID]],tblReconciliation[Project ID],tblReconciliation[Actual Spend])</calculatedColumnFormula>
    </tableColumn>
    <tableColumn id="5" xr3:uid="{F76CD115-62FB-4F04-A91C-C5913C1C6E66}" name="budget used %" dataDxfId="26">
      <calculatedColumnFormula>_xll.XLOOKUP(Table9[[#This Row],[project ID]],tblReconciliation[Project ID],tblReconciliation[Budget Used %])</calculatedColumnFormula>
    </tableColumn>
    <tableColumn id="6" xr3:uid="{DA6F5BB9-81C4-4EA0-AA1E-DEF28D1355A9}" name="Status" dataDxfId="25">
      <calculatedColumnFormula>IFERROR(IF(Table9[[#This Row],[budget used %]]&lt;0.8,"On Track",IF(Table9[[#This Row],[budget used %]]&lt;1,"Monitor","Over Budget")),0)</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E58C6A2-106C-4803-BADC-86A2522495F4}" name="Table10" displayName="Table10" ref="A26:D31" totalsRowShown="0">
  <autoFilter ref="A26:D31" xr:uid="{97841924-1149-4A41-ADC8-47D4307C8953}"/>
  <tableColumns count="4">
    <tableColumn id="1" xr3:uid="{B6DC5377-2483-43D4-A7CD-B89066B85AED}" name="Project" dataDxfId="24"/>
    <tableColumn id="2" xr3:uid="{6D634622-809D-4B69-B787-9A055A2D9132}" name="Status" dataDxfId="21">
      <calculatedColumnFormula>IF(Table10[[#This Row],[Budget used]]&lt;0.8,"On Track",IF(Table10[[#This Row],[Budget used]]&lt;1,"Monitor","Over Budget"))</calculatedColumnFormula>
    </tableColumn>
    <tableColumn id="3" xr3:uid="{31DE9207-E6F4-4EC2-802E-E7D990DCA9FA}" name="Budget used" dataDxfId="22">
      <calculatedColumnFormula>D17/C17</calculatedColumnFormula>
    </tableColumn>
    <tableColumn id="4" xr3:uid="{8E43E5CF-5ECB-41A2-B308-833AE05438EE}" name="Manager" dataDxfId="2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EEE75B1-5BCE-4377-AD5D-3EFA95A72ADC}" name="Table11" displayName="Table11" ref="B44:E49" totalsRowShown="0">
  <autoFilter ref="B44:E49" xr:uid="{BB025A70-963D-4944-B28B-CF2BCC87E6E1}"/>
  <tableColumns count="4">
    <tableColumn id="1" xr3:uid="{F5A8BD15-DF00-40E8-B082-511EC64199F6}" name="Project">
      <calculatedColumnFormula>Dashboard_data!A27</calculatedColumnFormula>
    </tableColumn>
    <tableColumn id="2" xr3:uid="{AAFFB490-DBD7-47EA-8F8C-E1BB181434D2}" name="Status" dataDxfId="3">
      <calculatedColumnFormula>Dashboard_data!B27</calculatedColumnFormula>
    </tableColumn>
    <tableColumn id="3" xr3:uid="{AAF8D687-FE5A-4453-BA37-AD7A8D61EF90}" name="Budget Used %" dataDxfId="4">
      <calculatedColumnFormula>Dashboard_data!C27</calculatedColumnFormula>
    </tableColumn>
    <tableColumn id="4" xr3:uid="{02B16B05-0D33-40CE-B4F0-0D54D2BF1102}" name="Manager">
      <calculatedColumnFormula>Dashboard_data!D27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eter.brown@nationalhighways.co.uk" TargetMode="External"/><Relationship Id="rId2" Type="http://schemas.openxmlformats.org/officeDocument/2006/relationships/hyperlink" Target="mailto:emily.jones@thameswater.co.uk" TargetMode="External"/><Relationship Id="rId1" Type="http://schemas.openxmlformats.org/officeDocument/2006/relationships/hyperlink" Target="mailto:david.smith@networkrail.co.uk" TargetMode="External"/><Relationship Id="rId5" Type="http://schemas.openxmlformats.org/officeDocument/2006/relationships/table" Target="../tables/table2.xml"/><Relationship Id="rId4" Type="http://schemas.openxmlformats.org/officeDocument/2006/relationships/hyperlink" Target="mailto:lisa.taylor@environment-agency.gov.u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2.bin"/><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08A38-9ED8-4C7D-B587-63E7E6AD5E1C}">
  <dimension ref="A1:J7"/>
  <sheetViews>
    <sheetView workbookViewId="0">
      <pane ySplit="1" topLeftCell="A2" activePane="bottomLeft" state="frozen"/>
      <selection pane="bottomLeft" activeCell="B1" sqref="B1:B6"/>
    </sheetView>
  </sheetViews>
  <sheetFormatPr defaultRowHeight="14.5"/>
  <cols>
    <col min="1" max="1" width="12.54296875" customWidth="1"/>
    <col min="2" max="2" width="19.453125" customWidth="1"/>
    <col min="3" max="3" width="14.54296875" customWidth="1"/>
    <col min="4" max="4" width="22.26953125" customWidth="1"/>
    <col min="5" max="5" width="11.81640625" customWidth="1"/>
    <col min="6" max="6" width="23" style="15" customWidth="1"/>
    <col min="7" max="7" width="19.6328125" style="4" customWidth="1"/>
    <col min="8" max="8" width="17.90625" style="4" customWidth="1"/>
    <col min="9" max="9" width="11.1796875" customWidth="1"/>
    <col min="10" max="10" width="19.54296875" customWidth="1"/>
  </cols>
  <sheetData>
    <row r="1" spans="1:10" s="1" customFormat="1" ht="21.5" customHeight="1">
      <c r="A1" s="6" t="s">
        <v>0</v>
      </c>
      <c r="B1" s="6" t="s">
        <v>1</v>
      </c>
      <c r="C1" s="6" t="s">
        <v>2</v>
      </c>
      <c r="D1" s="6" t="s">
        <v>4</v>
      </c>
      <c r="E1" s="6" t="s">
        <v>5</v>
      </c>
      <c r="F1" s="16" t="s">
        <v>6</v>
      </c>
      <c r="G1" s="9" t="s">
        <v>7</v>
      </c>
      <c r="H1" s="9" t="s">
        <v>8</v>
      </c>
      <c r="I1" s="6" t="s">
        <v>9</v>
      </c>
      <c r="J1" s="6" t="s">
        <v>3</v>
      </c>
    </row>
    <row r="2" spans="1:10">
      <c r="A2" s="3" t="s">
        <v>10</v>
      </c>
      <c r="B2" s="3" t="s">
        <v>11</v>
      </c>
      <c r="C2" s="3" t="s">
        <v>12</v>
      </c>
      <c r="D2" s="3" t="s">
        <v>14</v>
      </c>
      <c r="E2" s="3" t="s">
        <v>15</v>
      </c>
      <c r="F2" s="14">
        <v>5200000</v>
      </c>
      <c r="G2" s="5">
        <v>46023</v>
      </c>
      <c r="H2" s="5">
        <v>46326</v>
      </c>
      <c r="I2" s="3" t="s">
        <v>16</v>
      </c>
      <c r="J2" t="str">
        <f>_xll.XLOOKUP(tblProjects[[#This Row],[Client ID]],tblClients[Client ID],tblClients[Client Name],"Not Found")</f>
        <v>Network Rail</v>
      </c>
    </row>
    <row r="3" spans="1:10">
      <c r="A3" s="3" t="s">
        <v>17</v>
      </c>
      <c r="B3" s="3" t="s">
        <v>18</v>
      </c>
      <c r="C3" s="3" t="s">
        <v>19</v>
      </c>
      <c r="D3" s="3" t="s">
        <v>21</v>
      </c>
      <c r="E3" s="3" t="s">
        <v>22</v>
      </c>
      <c r="F3" s="14">
        <v>3800000</v>
      </c>
      <c r="G3" s="5">
        <v>46068</v>
      </c>
      <c r="H3" s="5">
        <v>46371</v>
      </c>
      <c r="I3" s="3" t="s">
        <v>16</v>
      </c>
      <c r="J3" t="str">
        <f>_xll.XLOOKUP(tblProjects[[#This Row],[Client ID]],tblClients[Client ID],tblClients[Client Name],"Not Found")</f>
        <v>Thames Water</v>
      </c>
    </row>
    <row r="4" spans="1:10">
      <c r="A4" s="3" t="s">
        <v>23</v>
      </c>
      <c r="B4" s="3" t="s">
        <v>24</v>
      </c>
      <c r="C4" s="3" t="s">
        <v>25</v>
      </c>
      <c r="D4" s="3" t="s">
        <v>27</v>
      </c>
      <c r="E4" s="3" t="s">
        <v>28</v>
      </c>
      <c r="F4" s="14">
        <v>6100000</v>
      </c>
      <c r="G4" s="5">
        <v>46082</v>
      </c>
      <c r="H4" s="5">
        <v>46418</v>
      </c>
      <c r="I4" s="3" t="s">
        <v>16</v>
      </c>
      <c r="J4" t="str">
        <f>_xll.XLOOKUP(tblProjects[[#This Row],[Client ID]],tblClients[Client ID],tblClients[Client Name],"Not Found")</f>
        <v>National Highways</v>
      </c>
    </row>
    <row r="5" spans="1:10">
      <c r="A5" s="3" t="s">
        <v>29</v>
      </c>
      <c r="B5" s="3" t="s">
        <v>30</v>
      </c>
      <c r="C5" s="3" t="s">
        <v>12</v>
      </c>
      <c r="D5" s="3" t="s">
        <v>31</v>
      </c>
      <c r="E5" s="3" t="s">
        <v>15</v>
      </c>
      <c r="F5" s="14">
        <v>4700000</v>
      </c>
      <c r="G5" s="5">
        <v>46127</v>
      </c>
      <c r="H5" s="5">
        <v>46477</v>
      </c>
      <c r="I5" s="3" t="s">
        <v>16</v>
      </c>
      <c r="J5" t="str">
        <f>_xll.XLOOKUP(tblProjects[[#This Row],[Client ID]],tblClients[Client ID],tblClients[Client Name],"Not Found")</f>
        <v>Network Rail</v>
      </c>
    </row>
    <row r="6" spans="1:10">
      <c r="A6" s="3" t="s">
        <v>32</v>
      </c>
      <c r="B6" s="3" t="s">
        <v>33</v>
      </c>
      <c r="C6" s="3" t="s">
        <v>34</v>
      </c>
      <c r="D6" s="3" t="s">
        <v>36</v>
      </c>
      <c r="E6" s="3" t="s">
        <v>37</v>
      </c>
      <c r="F6" s="14">
        <v>2950000</v>
      </c>
      <c r="G6" s="5">
        <v>46143</v>
      </c>
      <c r="H6" s="5">
        <v>46356</v>
      </c>
      <c r="I6" s="3" t="s">
        <v>38</v>
      </c>
      <c r="J6" t="str">
        <f>_xll.XLOOKUP(tblProjects[[#This Row],[Client ID]],tblClients[Client ID],tblClients[Client Name],"Not Found")</f>
        <v>Environment Agency</v>
      </c>
    </row>
    <row r="7" spans="1:10">
      <c r="A7" s="3"/>
      <c r="B7" s="3"/>
      <c r="C7" s="3"/>
      <c r="D7" s="3"/>
      <c r="E7" s="3"/>
      <c r="F7" s="14">
        <f>SUBTOTAL(109,tblProjects[Contract Value])</f>
        <v>22750000</v>
      </c>
      <c r="G7" s="3"/>
      <c r="H7" s="3"/>
      <c r="I7"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33738-2175-47B1-9592-96285137BCBB}">
  <dimension ref="A1:E5"/>
  <sheetViews>
    <sheetView workbookViewId="0">
      <pane ySplit="1" topLeftCell="A2" activePane="bottomLeft" state="frozen"/>
      <selection pane="bottomLeft" activeCell="B16" sqref="B16"/>
    </sheetView>
  </sheetViews>
  <sheetFormatPr defaultRowHeight="14.5"/>
  <cols>
    <col min="1" max="1" width="24.26953125" customWidth="1"/>
    <col min="2" max="2" width="25.7265625" customWidth="1"/>
    <col min="3" max="3" width="19.1796875" customWidth="1"/>
    <col min="4" max="4" width="34.6328125" customWidth="1"/>
    <col min="5" max="5" width="15.453125" style="12" customWidth="1"/>
  </cols>
  <sheetData>
    <row r="1" spans="1:5" s="1" customFormat="1" ht="23" customHeight="1">
      <c r="A1" s="6" t="s">
        <v>2</v>
      </c>
      <c r="B1" s="6" t="s">
        <v>3</v>
      </c>
      <c r="C1" s="6" t="s">
        <v>39</v>
      </c>
      <c r="D1" s="6" t="s">
        <v>40</v>
      </c>
      <c r="E1" s="13" t="s">
        <v>41</v>
      </c>
    </row>
    <row r="2" spans="1:5">
      <c r="A2" s="3" t="s">
        <v>12</v>
      </c>
      <c r="B2" s="3" t="s">
        <v>13</v>
      </c>
      <c r="C2" s="3" t="s">
        <v>42</v>
      </c>
      <c r="D2" s="10" t="s">
        <v>43</v>
      </c>
      <c r="E2" s="11" t="s">
        <v>44</v>
      </c>
    </row>
    <row r="3" spans="1:5">
      <c r="A3" s="3" t="s">
        <v>19</v>
      </c>
      <c r="B3" s="3" t="s">
        <v>20</v>
      </c>
      <c r="C3" s="3" t="s">
        <v>45</v>
      </c>
      <c r="D3" s="10" t="s">
        <v>46</v>
      </c>
      <c r="E3" s="11" t="s">
        <v>47</v>
      </c>
    </row>
    <row r="4" spans="1:5">
      <c r="A4" s="3" t="s">
        <v>25</v>
      </c>
      <c r="B4" s="3" t="s">
        <v>26</v>
      </c>
      <c r="C4" s="3" t="s">
        <v>48</v>
      </c>
      <c r="D4" s="10" t="s">
        <v>49</v>
      </c>
      <c r="E4" s="11" t="s">
        <v>50</v>
      </c>
    </row>
    <row r="5" spans="1:5" ht="19" customHeight="1">
      <c r="A5" s="3" t="s">
        <v>34</v>
      </c>
      <c r="B5" s="3" t="s">
        <v>35</v>
      </c>
      <c r="C5" s="3" t="s">
        <v>51</v>
      </c>
      <c r="D5" s="10" t="s">
        <v>52</v>
      </c>
      <c r="E5" s="11" t="s">
        <v>53</v>
      </c>
    </row>
  </sheetData>
  <hyperlinks>
    <hyperlink ref="D2" r:id="rId1" display="mailto:david.smith@networkrail.co.uk" xr:uid="{110A4B72-4EDA-447F-B946-AB6CCE04BCDA}"/>
    <hyperlink ref="D3" r:id="rId2" display="mailto:emily.jones@thameswater.co.uk" xr:uid="{B580E5C0-14C0-4800-90FD-CF99D1E3FEDD}"/>
    <hyperlink ref="D4" r:id="rId3" display="mailto:peter.brown@nationalhighways.co.uk" xr:uid="{058F5791-F297-406C-AB9A-F92FFE36ECEF}"/>
    <hyperlink ref="D5" r:id="rId4" display="mailto:lisa.taylor@environment-agency.gov.uk" xr:uid="{54EBC510-5108-4912-A3DB-B4D44FBEAB9C}"/>
  </hyperlink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F572-6370-46F2-B693-8F829DB11EEA}">
  <dimension ref="A1:D36"/>
  <sheetViews>
    <sheetView tabSelected="1" workbookViewId="0">
      <pane ySplit="1" topLeftCell="A2" activePane="bottomLeft" state="frozen"/>
      <selection pane="bottomLeft" activeCell="P38" sqref="P38"/>
    </sheetView>
  </sheetViews>
  <sheetFormatPr defaultRowHeight="14.5"/>
  <cols>
    <col min="1" max="1" width="16.26953125" style="18" customWidth="1"/>
    <col min="2" max="2" width="18.81640625" style="18" customWidth="1"/>
    <col min="3" max="3" width="28.90625" style="20" customWidth="1"/>
    <col min="4" max="4" width="20.6328125" style="18" customWidth="1"/>
  </cols>
  <sheetData>
    <row r="1" spans="1:4" s="1" customFormat="1">
      <c r="A1" s="6" t="s">
        <v>0</v>
      </c>
      <c r="B1" s="6" t="s">
        <v>54</v>
      </c>
      <c r="C1" s="16" t="s">
        <v>56</v>
      </c>
      <c r="D1" s="17" t="s">
        <v>55</v>
      </c>
    </row>
    <row r="2" spans="1:4">
      <c r="A2" s="2" t="s">
        <v>10</v>
      </c>
      <c r="B2" s="2" t="s">
        <v>57</v>
      </c>
      <c r="C2" s="19">
        <v>1170000</v>
      </c>
      <c r="D2" s="18" t="str">
        <f>_xll.XLOOKUP(tblBudget[[#This Row],[Category ID]],tblCostCategories[Category ID],tblCostCategories[Cost Category],"Category not found")</f>
        <v>Labour</v>
      </c>
    </row>
    <row r="3" spans="1:4">
      <c r="A3" s="2" t="s">
        <v>10</v>
      </c>
      <c r="B3" s="2" t="s">
        <v>59</v>
      </c>
      <c r="C3" s="19">
        <v>1498000</v>
      </c>
      <c r="D3" s="18" t="str">
        <f>_xll.XLOOKUP(tblBudget[[#This Row],[Category ID]],tblCostCategories[Category ID],tblCostCategories[Cost Category],"Category not found")</f>
        <v>Materials</v>
      </c>
    </row>
    <row r="4" spans="1:4">
      <c r="A4" s="2" t="s">
        <v>10</v>
      </c>
      <c r="B4" s="2" t="s">
        <v>61</v>
      </c>
      <c r="C4" s="19">
        <v>608000</v>
      </c>
      <c r="D4" s="18" t="str">
        <f>_xll.XLOOKUP(tblBudget[[#This Row],[Category ID]],tblCostCategories[Category ID],tblCostCategories[Cost Category],"Category not found")</f>
        <v>Plant Hire</v>
      </c>
    </row>
    <row r="5" spans="1:4">
      <c r="A5" s="2" t="s">
        <v>10</v>
      </c>
      <c r="B5" s="2" t="s">
        <v>63</v>
      </c>
      <c r="C5" s="19">
        <v>796000</v>
      </c>
      <c r="D5" s="18" t="str">
        <f>_xll.XLOOKUP(tblBudget[[#This Row],[Category ID]],tblCostCategories[Category ID],tblCostCategories[Cost Category],"Category not found")</f>
        <v>Subcontractors</v>
      </c>
    </row>
    <row r="6" spans="1:4">
      <c r="A6" s="2" t="s">
        <v>10</v>
      </c>
      <c r="B6" s="2" t="s">
        <v>65</v>
      </c>
      <c r="C6" s="19">
        <v>187000</v>
      </c>
      <c r="D6" s="18" t="str">
        <f>_xll.XLOOKUP(tblBudget[[#This Row],[Category ID]],tblCostCategories[Category ID],tblCostCategories[Cost Category],"Category not found")</f>
        <v>Fuel &amp; Transport</v>
      </c>
    </row>
    <row r="7" spans="1:4">
      <c r="A7" s="2" t="s">
        <v>10</v>
      </c>
      <c r="B7" s="2" t="s">
        <v>67</v>
      </c>
      <c r="C7" s="19">
        <v>281000</v>
      </c>
      <c r="D7" s="18" t="str">
        <f>_xll.XLOOKUP(tblBudget[[#This Row],[Category ID]],tblCostCategories[Category ID],tblCostCategories[Cost Category],"Category not found")</f>
        <v>Site Overheads</v>
      </c>
    </row>
    <row r="8" spans="1:4">
      <c r="A8" s="2" t="s">
        <v>10</v>
      </c>
      <c r="B8" s="2" t="s">
        <v>69</v>
      </c>
      <c r="C8" s="19">
        <v>140000</v>
      </c>
      <c r="D8" s="18" t="str">
        <f>_xll.XLOOKUP(tblBudget[[#This Row],[Category ID]],tblCostCategories[Category ID],tblCostCategories[Cost Category],"Category not found")</f>
        <v>Contingency</v>
      </c>
    </row>
    <row r="9" spans="1:4">
      <c r="A9" s="2" t="s">
        <v>17</v>
      </c>
      <c r="B9" s="2" t="s">
        <v>57</v>
      </c>
      <c r="C9" s="19">
        <v>958000</v>
      </c>
      <c r="D9" s="18" t="str">
        <f>_xll.XLOOKUP(tblBudget[[#This Row],[Category ID]],tblCostCategories[Category ID],tblCostCategories[Cost Category],"Category not found")</f>
        <v>Labour</v>
      </c>
    </row>
    <row r="10" spans="1:4">
      <c r="A10" s="2" t="s">
        <v>17</v>
      </c>
      <c r="B10" s="2" t="s">
        <v>59</v>
      </c>
      <c r="C10" s="19">
        <v>923000</v>
      </c>
      <c r="D10" s="18" t="str">
        <f>_xll.XLOOKUP(tblBudget[[#This Row],[Category ID]],tblCostCategories[Category ID],tblCostCategories[Cost Category],"Category not found")</f>
        <v>Materials</v>
      </c>
    </row>
    <row r="11" spans="1:4">
      <c r="A11" s="2" t="s">
        <v>17</v>
      </c>
      <c r="B11" s="2" t="s">
        <v>61</v>
      </c>
      <c r="C11" s="19">
        <v>513000</v>
      </c>
      <c r="D11" s="18" t="str">
        <f>_xll.XLOOKUP(tblBudget[[#This Row],[Category ID]],tblCostCategories[Category ID],tblCostCategories[Cost Category],"Category not found")</f>
        <v>Plant Hire</v>
      </c>
    </row>
    <row r="12" spans="1:4">
      <c r="A12" s="2" t="s">
        <v>17</v>
      </c>
      <c r="B12" s="2" t="s">
        <v>63</v>
      </c>
      <c r="C12" s="19">
        <v>547000</v>
      </c>
      <c r="D12" s="18" t="str">
        <f>_xll.XLOOKUP(tblBudget[[#This Row],[Category ID]],tblCostCategories[Category ID],tblCostCategories[Cost Category],"Category not found")</f>
        <v>Subcontractors</v>
      </c>
    </row>
    <row r="13" spans="1:4">
      <c r="A13" s="2" t="s">
        <v>17</v>
      </c>
      <c r="B13" s="2" t="s">
        <v>65</v>
      </c>
      <c r="C13" s="19">
        <v>171000</v>
      </c>
      <c r="D13" s="18" t="str">
        <f>_xll.XLOOKUP(tblBudget[[#This Row],[Category ID]],tblCostCategories[Category ID],tblCostCategories[Cost Category],"Category not found")</f>
        <v>Fuel &amp; Transport</v>
      </c>
    </row>
    <row r="14" spans="1:4">
      <c r="A14" s="2" t="s">
        <v>17</v>
      </c>
      <c r="B14" s="2" t="s">
        <v>67</v>
      </c>
      <c r="C14" s="19">
        <v>205000</v>
      </c>
      <c r="D14" s="18" t="str">
        <f>_xll.XLOOKUP(tblBudget[[#This Row],[Category ID]],tblCostCategories[Category ID],tblCostCategories[Cost Category],"Category not found")</f>
        <v>Site Overheads</v>
      </c>
    </row>
    <row r="15" spans="1:4">
      <c r="A15" s="2" t="s">
        <v>17</v>
      </c>
      <c r="B15" s="2" t="s">
        <v>69</v>
      </c>
      <c r="C15" s="19">
        <v>103000</v>
      </c>
      <c r="D15" s="18" t="str">
        <f>_xll.XLOOKUP(tblBudget[[#This Row],[Category ID]],tblCostCategories[Category ID],tblCostCategories[Cost Category],"Category not found")</f>
        <v>Contingency</v>
      </c>
    </row>
    <row r="16" spans="1:4">
      <c r="A16" s="2" t="s">
        <v>23</v>
      </c>
      <c r="B16" s="2" t="s">
        <v>57</v>
      </c>
      <c r="C16" s="19">
        <v>1318000</v>
      </c>
      <c r="D16" s="18" t="str">
        <f>_xll.XLOOKUP(tblBudget[[#This Row],[Category ID]],tblCostCategories[Category ID],tblCostCategories[Cost Category],"Category not found")</f>
        <v>Labour</v>
      </c>
    </row>
    <row r="17" spans="1:4">
      <c r="A17" s="2" t="s">
        <v>23</v>
      </c>
      <c r="B17" s="2" t="s">
        <v>59</v>
      </c>
      <c r="C17" s="19">
        <v>1867000</v>
      </c>
      <c r="D17" s="18" t="str">
        <f>_xll.XLOOKUP(tblBudget[[#This Row],[Category ID]],tblCostCategories[Category ID],tblCostCategories[Cost Category],"Category not found")</f>
        <v>Materials</v>
      </c>
    </row>
    <row r="18" spans="1:4">
      <c r="A18" s="2" t="s">
        <v>23</v>
      </c>
      <c r="B18" s="2" t="s">
        <v>61</v>
      </c>
      <c r="C18" s="19">
        <v>769000</v>
      </c>
      <c r="D18" s="18" t="str">
        <f>_xll.XLOOKUP(tblBudget[[#This Row],[Category ID]],tblCostCategories[Category ID],tblCostCategories[Cost Category],"Category not found")</f>
        <v>Plant Hire</v>
      </c>
    </row>
    <row r="19" spans="1:4">
      <c r="A19" s="2" t="s">
        <v>23</v>
      </c>
      <c r="B19" s="2" t="s">
        <v>63</v>
      </c>
      <c r="C19" s="19">
        <v>878000</v>
      </c>
      <c r="D19" s="18" t="str">
        <f>_xll.XLOOKUP(tblBudget[[#This Row],[Category ID]],tblCostCategories[Category ID],tblCostCategories[Cost Category],"Category not found")</f>
        <v>Subcontractors</v>
      </c>
    </row>
    <row r="20" spans="1:4">
      <c r="A20" s="2" t="s">
        <v>23</v>
      </c>
      <c r="B20" s="2" t="s">
        <v>65</v>
      </c>
      <c r="C20" s="19">
        <v>220000</v>
      </c>
      <c r="D20" s="18" t="str">
        <f>_xll.XLOOKUP(tblBudget[[#This Row],[Category ID]],tblCostCategories[Category ID],tblCostCategories[Cost Category],"Category not found")</f>
        <v>Fuel &amp; Transport</v>
      </c>
    </row>
    <row r="21" spans="1:4">
      <c r="A21" s="2" t="s">
        <v>23</v>
      </c>
      <c r="B21" s="2" t="s">
        <v>67</v>
      </c>
      <c r="C21" s="19">
        <v>274000</v>
      </c>
      <c r="D21" s="18" t="str">
        <f>_xll.XLOOKUP(tblBudget[[#This Row],[Category ID]],tblCostCategories[Category ID],tblCostCategories[Cost Category],"Category not found")</f>
        <v>Site Overheads</v>
      </c>
    </row>
    <row r="22" spans="1:4">
      <c r="A22" s="2" t="s">
        <v>23</v>
      </c>
      <c r="B22" s="2" t="s">
        <v>69</v>
      </c>
      <c r="C22" s="19">
        <v>164000</v>
      </c>
      <c r="D22" s="18" t="str">
        <f>_xll.XLOOKUP(tblBudget[[#This Row],[Category ID]],tblCostCategories[Category ID],tblCostCategories[Cost Category],"Category not found")</f>
        <v>Contingency</v>
      </c>
    </row>
    <row r="23" spans="1:4">
      <c r="A23" s="2" t="s">
        <v>29</v>
      </c>
      <c r="B23" s="2" t="s">
        <v>57</v>
      </c>
      <c r="C23" s="19">
        <v>1100000</v>
      </c>
      <c r="D23" s="18" t="str">
        <f>_xll.XLOOKUP(tblBudget[[#This Row],[Category ID]],tblCostCategories[Category ID],tblCostCategories[Cost Category],"Category not found")</f>
        <v>Labour</v>
      </c>
    </row>
    <row r="24" spans="1:4">
      <c r="A24" s="2" t="s">
        <v>29</v>
      </c>
      <c r="B24" s="2" t="s">
        <v>59</v>
      </c>
      <c r="C24" s="19">
        <v>1311000</v>
      </c>
      <c r="D24" s="18" t="str">
        <f>_xll.XLOOKUP(tblBudget[[#This Row],[Category ID]],tblCostCategories[Category ID],tblCostCategories[Cost Category],"Category not found")</f>
        <v>Materials</v>
      </c>
    </row>
    <row r="25" spans="1:4">
      <c r="A25" s="2" t="s">
        <v>29</v>
      </c>
      <c r="B25" s="2" t="s">
        <v>61</v>
      </c>
      <c r="C25" s="19">
        <v>592000</v>
      </c>
      <c r="D25" s="18" t="str">
        <f>_xll.XLOOKUP(tblBudget[[#This Row],[Category ID]],tblCostCategories[Category ID],tblCostCategories[Cost Category],"Category not found")</f>
        <v>Plant Hire</v>
      </c>
    </row>
    <row r="26" spans="1:4">
      <c r="A26" s="2" t="s">
        <v>29</v>
      </c>
      <c r="B26" s="2" t="s">
        <v>63</v>
      </c>
      <c r="C26" s="19">
        <v>719000</v>
      </c>
      <c r="D26" s="18" t="str">
        <f>_xll.XLOOKUP(tblBudget[[#This Row],[Category ID]],tblCostCategories[Category ID],tblCostCategories[Cost Category],"Category not found")</f>
        <v>Subcontractors</v>
      </c>
    </row>
    <row r="27" spans="1:4">
      <c r="A27" s="2" t="s">
        <v>29</v>
      </c>
      <c r="B27" s="2" t="s">
        <v>65</v>
      </c>
      <c r="C27" s="19">
        <v>169000</v>
      </c>
      <c r="D27" s="18" t="str">
        <f>_xll.XLOOKUP(tblBudget[[#This Row],[Category ID]],tblCostCategories[Category ID],tblCostCategories[Cost Category],"Category not found")</f>
        <v>Fuel &amp; Transport</v>
      </c>
    </row>
    <row r="28" spans="1:4">
      <c r="A28" s="2" t="s">
        <v>29</v>
      </c>
      <c r="B28" s="2" t="s">
        <v>67</v>
      </c>
      <c r="C28" s="19">
        <v>212000</v>
      </c>
      <c r="D28" s="18" t="str">
        <f>_xll.XLOOKUP(tblBudget[[#This Row],[Category ID]],tblCostCategories[Category ID],tblCostCategories[Cost Category],"Category not found")</f>
        <v>Site Overheads</v>
      </c>
    </row>
    <row r="29" spans="1:4">
      <c r="A29" s="2" t="s">
        <v>29</v>
      </c>
      <c r="B29" s="2" t="s">
        <v>69</v>
      </c>
      <c r="C29" s="19">
        <v>127000</v>
      </c>
      <c r="D29" s="18" t="str">
        <f>_xll.XLOOKUP(tblBudget[[#This Row],[Category ID]],tblCostCategories[Category ID],tblCostCategories[Cost Category],"Category not found")</f>
        <v>Contingency</v>
      </c>
    </row>
    <row r="30" spans="1:4">
      <c r="A30" s="2" t="s">
        <v>32</v>
      </c>
      <c r="B30" s="2" t="s">
        <v>57</v>
      </c>
      <c r="C30" s="19">
        <v>611000</v>
      </c>
      <c r="D30" s="18" t="str">
        <f>_xll.XLOOKUP(tblBudget[[#This Row],[Category ID]],tblCostCategories[Category ID],tblCostCategories[Cost Category],"Category not found")</f>
        <v>Labour</v>
      </c>
    </row>
    <row r="31" spans="1:4">
      <c r="A31" s="2" t="s">
        <v>32</v>
      </c>
      <c r="B31" s="2" t="s">
        <v>59</v>
      </c>
      <c r="C31" s="19">
        <v>770000</v>
      </c>
      <c r="D31" s="18" t="str">
        <f>_xll.XLOOKUP(tblBudget[[#This Row],[Category ID]],tblCostCategories[Category ID],tblCostCategories[Cost Category],"Category not found")</f>
        <v>Materials</v>
      </c>
    </row>
    <row r="32" spans="1:4">
      <c r="A32" s="2" t="s">
        <v>32</v>
      </c>
      <c r="B32" s="2" t="s">
        <v>61</v>
      </c>
      <c r="C32" s="19">
        <v>425000</v>
      </c>
      <c r="D32" s="18" t="str">
        <f>_xll.XLOOKUP(tblBudget[[#This Row],[Category ID]],tblCostCategories[Category ID],tblCostCategories[Cost Category],"Category not found")</f>
        <v>Plant Hire</v>
      </c>
    </row>
    <row r="33" spans="1:4">
      <c r="A33" s="2" t="s">
        <v>32</v>
      </c>
      <c r="B33" s="2" t="s">
        <v>63</v>
      </c>
      <c r="C33" s="19">
        <v>478000</v>
      </c>
      <c r="D33" s="18" t="str">
        <f>_xll.XLOOKUP(tblBudget[[#This Row],[Category ID]],tblCostCategories[Category ID],tblCostCategories[Cost Category],"Category not found")</f>
        <v>Subcontractors</v>
      </c>
    </row>
    <row r="34" spans="1:4">
      <c r="A34" s="2" t="s">
        <v>32</v>
      </c>
      <c r="B34" s="2" t="s">
        <v>65</v>
      </c>
      <c r="C34" s="19">
        <v>133000</v>
      </c>
      <c r="D34" s="18" t="str">
        <f>_xll.XLOOKUP(tblBudget[[#This Row],[Category ID]],tblCostCategories[Category ID],tblCostCategories[Cost Category],"Category not found")</f>
        <v>Fuel &amp; Transport</v>
      </c>
    </row>
    <row r="35" spans="1:4">
      <c r="A35" s="2" t="s">
        <v>32</v>
      </c>
      <c r="B35" s="2" t="s">
        <v>67</v>
      </c>
      <c r="C35" s="19">
        <v>159000</v>
      </c>
      <c r="D35" s="18" t="str">
        <f>_xll.XLOOKUP(tblBudget[[#This Row],[Category ID]],tblCostCategories[Category ID],tblCostCategories[Cost Category],"Category not found")</f>
        <v>Site Overheads</v>
      </c>
    </row>
    <row r="36" spans="1:4">
      <c r="A36" s="2" t="s">
        <v>32</v>
      </c>
      <c r="B36" s="2" t="s">
        <v>69</v>
      </c>
      <c r="C36" s="19">
        <v>79000</v>
      </c>
      <c r="D36" s="18" t="str">
        <f>_xll.XLOOKUP(tblBudget[[#This Row],[Category ID]],tblCostCategories[Category ID],tblCostCategories[Cost Category],"Category not found")</f>
        <v>Contingency</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41892-BBB8-4BE3-A611-EEE475629B05}">
  <dimension ref="A1:B8"/>
  <sheetViews>
    <sheetView workbookViewId="0">
      <pane ySplit="1" topLeftCell="A2" activePane="bottomLeft" state="frozen"/>
      <selection pane="bottomLeft" activeCell="A2" sqref="A2"/>
    </sheetView>
  </sheetViews>
  <sheetFormatPr defaultRowHeight="14.5"/>
  <cols>
    <col min="1" max="1" width="14.90625" customWidth="1"/>
    <col min="2" max="2" width="17.7265625" style="12" customWidth="1"/>
  </cols>
  <sheetData>
    <row r="1" spans="1:2" s="1" customFormat="1" ht="22.5" customHeight="1">
      <c r="A1" s="6" t="s">
        <v>54</v>
      </c>
      <c r="B1" s="13" t="s">
        <v>55</v>
      </c>
    </row>
    <row r="2" spans="1:2">
      <c r="A2" s="3" t="s">
        <v>57</v>
      </c>
      <c r="B2" s="11" t="s">
        <v>58</v>
      </c>
    </row>
    <row r="3" spans="1:2">
      <c r="A3" s="3" t="s">
        <v>59</v>
      </c>
      <c r="B3" s="11" t="s">
        <v>60</v>
      </c>
    </row>
    <row r="4" spans="1:2" ht="20.5" customHeight="1">
      <c r="A4" s="3" t="s">
        <v>61</v>
      </c>
      <c r="B4" s="11" t="s">
        <v>62</v>
      </c>
    </row>
    <row r="5" spans="1:2" ht="20" customHeight="1">
      <c r="A5" s="3" t="s">
        <v>63</v>
      </c>
      <c r="B5" s="11" t="s">
        <v>64</v>
      </c>
    </row>
    <row r="6" spans="1:2">
      <c r="A6" s="3" t="s">
        <v>65</v>
      </c>
      <c r="B6" s="11" t="s">
        <v>66</v>
      </c>
    </row>
    <row r="7" spans="1:2">
      <c r="A7" s="3" t="s">
        <v>67</v>
      </c>
      <c r="B7" s="11" t="s">
        <v>68</v>
      </c>
    </row>
    <row r="8" spans="1:2">
      <c r="A8" s="3" t="s">
        <v>69</v>
      </c>
      <c r="B8" s="11" t="s">
        <v>70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57BCA-84AC-4057-B63C-4622126A37EF}">
  <dimension ref="A1:L29"/>
  <sheetViews>
    <sheetView workbookViewId="0">
      <pane ySplit="1" topLeftCell="A2" activePane="bottomLeft" state="frozen"/>
      <selection pane="bottomLeft" activeCell="G13" sqref="G13"/>
    </sheetView>
  </sheetViews>
  <sheetFormatPr defaultRowHeight="14.5"/>
  <cols>
    <col min="1" max="1" width="21.81640625" style="4" customWidth="1"/>
    <col min="2" max="2" width="19.7265625" style="18" customWidth="1"/>
    <col min="3" max="3" width="15.453125" customWidth="1"/>
    <col min="4" max="4" width="23.26953125" customWidth="1"/>
    <col min="5" max="5" width="16.26953125" customWidth="1"/>
    <col min="6" max="6" width="23.54296875" customWidth="1"/>
    <col min="7" max="7" width="28.54296875" customWidth="1"/>
    <col min="8" max="8" width="30.6328125" customWidth="1"/>
    <col min="9" max="9" width="18.36328125" style="15" customWidth="1"/>
    <col min="10" max="10" width="15.08984375" style="30" customWidth="1"/>
    <col min="11" max="11" width="15.26953125" customWidth="1"/>
    <col min="12" max="12" width="15.08984375" customWidth="1"/>
  </cols>
  <sheetData>
    <row r="1" spans="1:12" s="1" customFormat="1">
      <c r="A1" s="9" t="s">
        <v>180</v>
      </c>
      <c r="B1" s="6" t="s">
        <v>74</v>
      </c>
      <c r="C1" s="6" t="s">
        <v>0</v>
      </c>
      <c r="D1" s="6" t="s">
        <v>1</v>
      </c>
      <c r="E1" s="6" t="s">
        <v>54</v>
      </c>
      <c r="F1" s="6" t="s">
        <v>55</v>
      </c>
      <c r="G1" s="6" t="s">
        <v>75</v>
      </c>
      <c r="H1" s="6" t="s">
        <v>76</v>
      </c>
      <c r="I1" s="16" t="s">
        <v>77</v>
      </c>
      <c r="J1" s="29" t="s">
        <v>78</v>
      </c>
      <c r="K1" s="7"/>
      <c r="L1" s="6"/>
    </row>
    <row r="2" spans="1:12">
      <c r="A2" s="5">
        <v>46030</v>
      </c>
      <c r="B2" s="2" t="s">
        <v>79</v>
      </c>
      <c r="C2" s="3" t="s">
        <v>10</v>
      </c>
      <c r="D2" s="3" t="str">
        <f>_xll.XLOOKUP(tblActualCosts[[#This Row],[Project ID]],tblProjects[Project ID],tblProjects[Project Name],"Project Not Found")</f>
        <v>Bridge Alpha</v>
      </c>
      <c r="E2" s="3" t="s">
        <v>59</v>
      </c>
      <c r="F2" s="3" t="str">
        <f>_xll.XLOOKUP(tblActualCosts[[#This Row],[Category ID]],tblCostCategories[Category ID],tblCostCategories[Cost Category],"category Not Found")</f>
        <v>Materials</v>
      </c>
      <c r="G2" s="3" t="s">
        <v>80</v>
      </c>
      <c r="H2" s="3" t="s">
        <v>81</v>
      </c>
      <c r="I2" s="14">
        <v>185000</v>
      </c>
      <c r="J2" s="30">
        <f>EOMONTH(tblActualCosts[[#This Row],[cat]],-1)+1</f>
        <v>46023</v>
      </c>
    </row>
    <row r="3" spans="1:12">
      <c r="A3" s="5">
        <v>46037</v>
      </c>
      <c r="B3" s="2" t="s">
        <v>82</v>
      </c>
      <c r="C3" s="3" t="s">
        <v>10</v>
      </c>
      <c r="D3" s="3" t="str">
        <f>_xll.XLOOKUP(tblActualCosts[[#This Row],[Project ID]],tblProjects[Project ID],tblProjects[Project Name],"Project Not Found")</f>
        <v>Bridge Alpha</v>
      </c>
      <c r="E3" s="3" t="s">
        <v>57</v>
      </c>
      <c r="F3" s="3" t="str">
        <f>_xll.XLOOKUP(tblActualCosts[[#This Row],[Category ID]],tblCostCategories[Category ID],tblCostCategories[Cost Category],"category Not Found")</f>
        <v>Labour</v>
      </c>
      <c r="G3" s="3" t="s">
        <v>83</v>
      </c>
      <c r="H3" s="3" t="s">
        <v>84</v>
      </c>
      <c r="I3" s="14">
        <v>98000</v>
      </c>
      <c r="J3" s="30">
        <f>EOMONTH(tblActualCosts[[#This Row],[cat]],-1)+1</f>
        <v>46023</v>
      </c>
    </row>
    <row r="4" spans="1:12">
      <c r="A4" s="5">
        <v>46044</v>
      </c>
      <c r="B4" s="2" t="s">
        <v>85</v>
      </c>
      <c r="C4" s="3" t="s">
        <v>10</v>
      </c>
      <c r="D4" s="3" t="str">
        <f>_xll.XLOOKUP(tblActualCosts[[#This Row],[Project ID]],tblProjects[Project ID],tblProjects[Project Name],"Project Not Found")</f>
        <v>Bridge Alpha</v>
      </c>
      <c r="E4" s="3" t="s">
        <v>61</v>
      </c>
      <c r="F4" s="3" t="str">
        <f>_xll.XLOOKUP(tblActualCosts[[#This Row],[Category ID]],tblCostCategories[Category ID],tblCostCategories[Cost Category],"category Not Found")</f>
        <v>Plant Hire</v>
      </c>
      <c r="G4" s="3" t="s">
        <v>86</v>
      </c>
      <c r="H4" s="3" t="s">
        <v>87</v>
      </c>
      <c r="I4" s="14">
        <v>46000</v>
      </c>
      <c r="J4" s="30">
        <f>EOMONTH(tblActualCosts[[#This Row],[cat]],-1)+1</f>
        <v>46023</v>
      </c>
    </row>
    <row r="5" spans="1:12">
      <c r="A5" s="5">
        <v>46058</v>
      </c>
      <c r="B5" s="2" t="s">
        <v>88</v>
      </c>
      <c r="C5" s="3" t="s">
        <v>10</v>
      </c>
      <c r="D5" s="3" t="str">
        <f>_xll.XLOOKUP(tblActualCosts[[#This Row],[Project ID]],tblProjects[Project ID],tblProjects[Project Name],"Project Not Found")</f>
        <v>Bridge Alpha</v>
      </c>
      <c r="E5" s="3" t="s">
        <v>59</v>
      </c>
      <c r="F5" s="3" t="str">
        <f>_xll.XLOOKUP(tblActualCosts[[#This Row],[Category ID]],tblCostCategories[Category ID],tblCostCategories[Cost Category],"category Not Found")</f>
        <v>Materials</v>
      </c>
      <c r="G5" s="3" t="s">
        <v>89</v>
      </c>
      <c r="H5" s="3" t="s">
        <v>90</v>
      </c>
      <c r="I5" s="14">
        <v>142000</v>
      </c>
      <c r="J5" s="30">
        <f>EOMONTH(tblActualCosts[[#This Row],[cat]],-1)+1</f>
        <v>46054</v>
      </c>
    </row>
    <row r="6" spans="1:12">
      <c r="A6" s="5">
        <v>46071</v>
      </c>
      <c r="B6" s="2" t="s">
        <v>91</v>
      </c>
      <c r="C6" s="3" t="s">
        <v>10</v>
      </c>
      <c r="D6" s="3" t="str">
        <f>_xll.XLOOKUP(tblActualCosts[[#This Row],[Project ID]],tblProjects[Project ID],tblProjects[Project Name],"Project Not Found")</f>
        <v>Bridge Alpha</v>
      </c>
      <c r="E6" s="3" t="s">
        <v>63</v>
      </c>
      <c r="F6" s="3" t="str">
        <f>_xll.XLOOKUP(tblActualCosts[[#This Row],[Category ID]],tblCostCategories[Category ID],tblCostCategories[Cost Category],"category Not Found")</f>
        <v>Subcontractors</v>
      </c>
      <c r="G6" s="3" t="s">
        <v>92</v>
      </c>
      <c r="H6" s="3" t="s">
        <v>93</v>
      </c>
      <c r="I6" s="14">
        <v>125000</v>
      </c>
      <c r="J6" s="30">
        <f>EOMONTH(tblActualCosts[[#This Row],[cat]],-1)+1</f>
        <v>46054</v>
      </c>
    </row>
    <row r="7" spans="1:12">
      <c r="A7" s="5">
        <v>46091</v>
      </c>
      <c r="B7" s="2" t="s">
        <v>94</v>
      </c>
      <c r="C7" s="3" t="s">
        <v>10</v>
      </c>
      <c r="D7" s="3" t="str">
        <f>_xll.XLOOKUP(tblActualCosts[[#This Row],[Project ID]],tblProjects[Project ID],tblProjects[Project Name],"Project Not Found")</f>
        <v>Bridge Alpha</v>
      </c>
      <c r="E7" s="3" t="s">
        <v>57</v>
      </c>
      <c r="F7" s="3" t="str">
        <f>_xll.XLOOKUP(tblActualCosts[[#This Row],[Category ID]],tblCostCategories[Category ID],tblCostCategories[Cost Category],"category Not Found")</f>
        <v>Labour</v>
      </c>
      <c r="G7" s="3" t="s">
        <v>83</v>
      </c>
      <c r="H7" s="3" t="s">
        <v>95</v>
      </c>
      <c r="I7" s="14">
        <v>185000</v>
      </c>
      <c r="J7" s="30">
        <f>EOMONTH(tblActualCosts[[#This Row],[cat]],-1)+1</f>
        <v>46082</v>
      </c>
    </row>
    <row r="8" spans="1:12">
      <c r="A8" s="5">
        <v>46098</v>
      </c>
      <c r="B8" s="2" t="s">
        <v>96</v>
      </c>
      <c r="C8" s="3" t="s">
        <v>10</v>
      </c>
      <c r="D8" s="3" t="str">
        <f>_xll.XLOOKUP(tblActualCosts[[#This Row],[Project ID]],tblProjects[Project ID],tblProjects[Project Name],"Project Not Found")</f>
        <v>Bridge Alpha</v>
      </c>
      <c r="E8" s="3" t="s">
        <v>65</v>
      </c>
      <c r="F8" s="3" t="str">
        <f>_xll.XLOOKUP(tblActualCosts[[#This Row],[Category ID]],tblCostCategories[Category ID],tblCostCategories[Cost Category],"category Not Found")</f>
        <v>Fuel &amp; Transport</v>
      </c>
      <c r="G8" s="3" t="s">
        <v>97</v>
      </c>
      <c r="H8" s="3" t="s">
        <v>98</v>
      </c>
      <c r="I8" s="14">
        <v>32000</v>
      </c>
      <c r="J8" s="30">
        <f>EOMONTH(tblActualCosts[[#This Row],[cat]],-1)+1</f>
        <v>46082</v>
      </c>
    </row>
    <row r="9" spans="1:12">
      <c r="A9" s="5">
        <v>46116</v>
      </c>
      <c r="B9" s="2" t="s">
        <v>99</v>
      </c>
      <c r="C9" s="3" t="s">
        <v>10</v>
      </c>
      <c r="D9" s="3" t="str">
        <f>_xll.XLOOKUP(tblActualCosts[[#This Row],[Project ID]],tblProjects[Project ID],tblProjects[Project Name],"Project Not Found")</f>
        <v>Bridge Alpha</v>
      </c>
      <c r="E9" s="3" t="s">
        <v>67</v>
      </c>
      <c r="F9" s="3" t="str">
        <f>_xll.XLOOKUP(tblActualCosts[[#This Row],[Category ID]],tblCostCategories[Category ID],tblCostCategories[Cost Category],"category Not Found")</f>
        <v>Site Overheads</v>
      </c>
      <c r="G9" s="3" t="s">
        <v>100</v>
      </c>
      <c r="H9" s="3" t="s">
        <v>101</v>
      </c>
      <c r="I9" s="14">
        <v>48000</v>
      </c>
      <c r="J9" s="30">
        <f>EOMONTH(tblActualCosts[[#This Row],[cat]],-1)+1</f>
        <v>46113</v>
      </c>
    </row>
    <row r="10" spans="1:12">
      <c r="A10" s="5">
        <v>46074</v>
      </c>
      <c r="B10" s="2" t="s">
        <v>102</v>
      </c>
      <c r="C10" s="3" t="s">
        <v>17</v>
      </c>
      <c r="D10" s="3" t="str">
        <f>_xll.XLOOKUP(tblActualCosts[[#This Row],[Project ID]],tblProjects[Project ID],tblProjects[Project Name],"Project Not Found")</f>
        <v>Water Main Bravo</v>
      </c>
      <c r="E10" s="3" t="s">
        <v>57</v>
      </c>
      <c r="F10" s="3" t="str">
        <f>_xll.XLOOKUP(tblActualCosts[[#This Row],[Category ID]],tblCostCategories[Category ID],tblCostCategories[Cost Category],"category Not Found")</f>
        <v>Labour</v>
      </c>
      <c r="G10" s="3" t="s">
        <v>103</v>
      </c>
      <c r="H10" s="3" t="s">
        <v>104</v>
      </c>
      <c r="I10" s="14">
        <v>76000</v>
      </c>
      <c r="J10" s="30">
        <f>EOMONTH(tblActualCosts[[#This Row],[cat]],-1)+1</f>
        <v>46054</v>
      </c>
    </row>
    <row r="11" spans="1:12">
      <c r="A11" s="5">
        <v>46081</v>
      </c>
      <c r="B11" s="2" t="s">
        <v>105</v>
      </c>
      <c r="C11" s="3" t="s">
        <v>17</v>
      </c>
      <c r="D11" s="3" t="str">
        <f>_xll.XLOOKUP(tblActualCosts[[#This Row],[Project ID]],tblProjects[Project ID],tblProjects[Project Name],"Project Not Found")</f>
        <v>Water Main Bravo</v>
      </c>
      <c r="E11" s="3" t="s">
        <v>61</v>
      </c>
      <c r="F11" s="3" t="str">
        <f>_xll.XLOOKUP(tblActualCosts[[#This Row],[Category ID]],tblCostCategories[Category ID],tblCostCategories[Cost Category],"category Not Found")</f>
        <v>Plant Hire</v>
      </c>
      <c r="G11" s="3" t="s">
        <v>106</v>
      </c>
      <c r="H11" s="3" t="s">
        <v>107</v>
      </c>
      <c r="I11" s="14">
        <v>68000</v>
      </c>
      <c r="J11" s="30">
        <f>EOMONTH(tblActualCosts[[#This Row],[cat]],-1)+1</f>
        <v>46054</v>
      </c>
    </row>
    <row r="12" spans="1:12">
      <c r="A12" s="5">
        <v>46093</v>
      </c>
      <c r="B12" s="2" t="s">
        <v>108</v>
      </c>
      <c r="C12" s="3" t="s">
        <v>17</v>
      </c>
      <c r="D12" s="3" t="str">
        <f>_xll.XLOOKUP(tblActualCosts[[#This Row],[Project ID]],tblProjects[Project ID],tblProjects[Project Name],"Project Not Found")</f>
        <v>Water Main Bravo</v>
      </c>
      <c r="E12" s="3" t="s">
        <v>59</v>
      </c>
      <c r="F12" s="3" t="str">
        <f>_xll.XLOOKUP(tblActualCosts[[#This Row],[Category ID]],tblCostCategories[Category ID],tblCostCategories[Cost Category],"category Not Found")</f>
        <v>Materials</v>
      </c>
      <c r="G12" s="3" t="s">
        <v>109</v>
      </c>
      <c r="H12" s="3" t="s">
        <v>110</v>
      </c>
      <c r="I12" s="14">
        <v>154000</v>
      </c>
      <c r="J12" s="30">
        <f>EOMONTH(tblActualCosts[[#This Row],[cat]],-1)+1</f>
        <v>46082</v>
      </c>
    </row>
    <row r="13" spans="1:12">
      <c r="A13" s="5">
        <v>46106</v>
      </c>
      <c r="B13" s="2" t="s">
        <v>111</v>
      </c>
      <c r="C13" s="3" t="s">
        <v>17</v>
      </c>
      <c r="D13" s="3" t="str">
        <f>_xll.XLOOKUP(tblActualCosts[[#This Row],[Project ID]],tblProjects[Project ID],tblProjects[Project Name],"Project Not Found")</f>
        <v>Water Main Bravo</v>
      </c>
      <c r="E13" s="3" t="s">
        <v>63</v>
      </c>
      <c r="F13" s="3" t="str">
        <f>_xll.XLOOKUP(tblActualCosts[[#This Row],[Category ID]],tblCostCategories[Category ID],tblCostCategories[Cost Category],"category Not Found")</f>
        <v>Subcontractors</v>
      </c>
      <c r="G13" s="3" t="s">
        <v>112</v>
      </c>
      <c r="H13" s="3" t="s">
        <v>113</v>
      </c>
      <c r="I13" s="14">
        <v>92000</v>
      </c>
      <c r="J13" s="30">
        <f>EOMONTH(tblActualCosts[[#This Row],[cat]],-1)+1</f>
        <v>46082</v>
      </c>
    </row>
    <row r="14" spans="1:12">
      <c r="A14" s="5">
        <v>46121</v>
      </c>
      <c r="B14" s="2" t="s">
        <v>114</v>
      </c>
      <c r="C14" s="3" t="s">
        <v>17</v>
      </c>
      <c r="D14" s="3" t="str">
        <f>_xll.XLOOKUP(tblActualCosts[[#This Row],[Project ID]],tblProjects[Project ID],tblProjects[Project Name],"Project Not Found")</f>
        <v>Water Main Bravo</v>
      </c>
      <c r="E14" s="3" t="s">
        <v>57</v>
      </c>
      <c r="F14" s="3" t="str">
        <f>_xll.XLOOKUP(tblActualCosts[[#This Row],[Category ID]],tblCostCategories[Category ID],tblCostCategories[Cost Category],"category Not Found")</f>
        <v>Labour</v>
      </c>
      <c r="G14" s="3" t="s">
        <v>103</v>
      </c>
      <c r="H14" s="3" t="s">
        <v>115</v>
      </c>
      <c r="I14" s="14">
        <v>87000</v>
      </c>
      <c r="J14" s="30">
        <f>EOMONTH(tblActualCosts[[#This Row],[cat]],-1)+1</f>
        <v>46113</v>
      </c>
    </row>
    <row r="15" spans="1:12">
      <c r="A15" s="5">
        <v>46128</v>
      </c>
      <c r="B15" s="2" t="s">
        <v>116</v>
      </c>
      <c r="C15" s="3" t="s">
        <v>17</v>
      </c>
      <c r="D15" s="3" t="str">
        <f>_xll.XLOOKUP(tblActualCosts[[#This Row],[Project ID]],tblProjects[Project ID],tblProjects[Project Name],"Project Not Found")</f>
        <v>Water Main Bravo</v>
      </c>
      <c r="E15" s="3" t="s">
        <v>65</v>
      </c>
      <c r="F15" s="3" t="str">
        <f>_xll.XLOOKUP(tblActualCosts[[#This Row],[Category ID]],tblCostCategories[Category ID],tblCostCategories[Cost Category],"category Not Found")</f>
        <v>Fuel &amp; Transport</v>
      </c>
      <c r="G15" s="3" t="s">
        <v>117</v>
      </c>
      <c r="H15" s="3" t="s">
        <v>118</v>
      </c>
      <c r="I15" s="14">
        <v>27000</v>
      </c>
      <c r="J15" s="30">
        <f>EOMONTH(tblActualCosts[[#This Row],[cat]],-1)+1</f>
        <v>46113</v>
      </c>
    </row>
    <row r="16" spans="1:12">
      <c r="A16" s="5">
        <v>46086</v>
      </c>
      <c r="B16" s="2" t="s">
        <v>119</v>
      </c>
      <c r="C16" s="3" t="s">
        <v>23</v>
      </c>
      <c r="D16" s="3" t="str">
        <f>_xll.XLOOKUP(tblActualCosts[[#This Row],[Project ID]],tblProjects[Project ID],tblProjects[Project Name],"Project Not Found")</f>
        <v>Highway Charlie</v>
      </c>
      <c r="E16" s="3" t="s">
        <v>59</v>
      </c>
      <c r="F16" s="3" t="str">
        <f>_xll.XLOOKUP(tblActualCosts[[#This Row],[Category ID]],tblCostCategories[Category ID],tblCostCategories[Cost Category],"category Not Found")</f>
        <v>Materials</v>
      </c>
      <c r="G16" s="3" t="s">
        <v>120</v>
      </c>
      <c r="H16" s="3" t="s">
        <v>121</v>
      </c>
      <c r="I16" s="14">
        <v>265000</v>
      </c>
      <c r="J16" s="30">
        <f>EOMONTH(tblActualCosts[[#This Row],[cat]],-1)+1</f>
        <v>46082</v>
      </c>
    </row>
    <row r="17" spans="1:10">
      <c r="A17" s="5">
        <v>46099</v>
      </c>
      <c r="B17" s="2" t="s">
        <v>122</v>
      </c>
      <c r="C17" s="3" t="s">
        <v>23</v>
      </c>
      <c r="D17" s="3" t="str">
        <f>_xll.XLOOKUP(tblActualCosts[[#This Row],[Project ID]],tblProjects[Project ID],tblProjects[Project Name],"Project Not Found")</f>
        <v>Highway Charlie</v>
      </c>
      <c r="E17" s="3" t="s">
        <v>61</v>
      </c>
      <c r="F17" s="3" t="str">
        <f>_xll.XLOOKUP(tblActualCosts[[#This Row],[Category ID]],tblCostCategories[Category ID],tblCostCategories[Cost Category],"category Not Found")</f>
        <v>Plant Hire</v>
      </c>
      <c r="G17" s="3" t="s">
        <v>123</v>
      </c>
      <c r="H17" s="3" t="s">
        <v>124</v>
      </c>
      <c r="I17" s="14">
        <v>116000</v>
      </c>
      <c r="J17" s="30">
        <f>EOMONTH(tblActualCosts[[#This Row],[cat]],-1)+1</f>
        <v>46082</v>
      </c>
    </row>
    <row r="18" spans="1:10">
      <c r="A18" s="5">
        <v>46114</v>
      </c>
      <c r="B18" s="2" t="s">
        <v>125</v>
      </c>
      <c r="C18" s="3" t="s">
        <v>23</v>
      </c>
      <c r="D18" s="3" t="str">
        <f>_xll.XLOOKUP(tblActualCosts[[#This Row],[Project ID]],tblProjects[Project ID],tblProjects[Project Name],"Project Not Found")</f>
        <v>Highway Charlie</v>
      </c>
      <c r="E18" s="3" t="s">
        <v>57</v>
      </c>
      <c r="F18" s="3" t="str">
        <f>_xll.XLOOKUP(tblActualCosts[[#This Row],[Category ID]],tblCostCategories[Category ID],tblCostCategories[Cost Category],"category Not Found")</f>
        <v>Labour</v>
      </c>
      <c r="G18" s="3" t="s">
        <v>126</v>
      </c>
      <c r="H18" s="3" t="s">
        <v>115</v>
      </c>
      <c r="I18" s="14">
        <v>123000</v>
      </c>
      <c r="J18" s="30">
        <f>EOMONTH(tblActualCosts[[#This Row],[cat]],-1)+1</f>
        <v>46113</v>
      </c>
    </row>
    <row r="19" spans="1:10">
      <c r="A19" s="5">
        <v>46126</v>
      </c>
      <c r="B19" s="2" t="s">
        <v>127</v>
      </c>
      <c r="C19" s="3" t="s">
        <v>23</v>
      </c>
      <c r="D19" s="3" t="str">
        <f>_xll.XLOOKUP(tblActualCosts[[#This Row],[Project ID]],tblProjects[Project ID],tblProjects[Project Name],"Project Not Found")</f>
        <v>Highway Charlie</v>
      </c>
      <c r="E19" s="3" t="s">
        <v>59</v>
      </c>
      <c r="F19" s="3" t="str">
        <f>_xll.XLOOKUP(tblActualCosts[[#This Row],[Category ID]],tblCostCategories[Category ID],tblCostCategories[Cost Category],"category Not Found")</f>
        <v>Materials</v>
      </c>
      <c r="G19" s="3" t="s">
        <v>128</v>
      </c>
      <c r="H19" s="3" t="s">
        <v>129</v>
      </c>
      <c r="I19" s="14">
        <v>194000</v>
      </c>
      <c r="J19" s="30">
        <f>EOMONTH(tblActualCosts[[#This Row],[cat]],-1)+1</f>
        <v>46113</v>
      </c>
    </row>
    <row r="20" spans="1:10">
      <c r="A20" s="5">
        <v>46141</v>
      </c>
      <c r="B20" s="2" t="s">
        <v>130</v>
      </c>
      <c r="C20" s="3" t="s">
        <v>23</v>
      </c>
      <c r="D20" s="3" t="str">
        <f>_xll.XLOOKUP(tblActualCosts[[#This Row],[Project ID]],tblProjects[Project ID],tblProjects[Project Name],"Project Not Found")</f>
        <v>Highway Charlie</v>
      </c>
      <c r="E20" s="3" t="s">
        <v>63</v>
      </c>
      <c r="F20" s="3" t="str">
        <f>_xll.XLOOKUP(tblActualCosts[[#This Row],[Category ID]],tblCostCategories[Category ID],tblCostCategories[Cost Category],"category Not Found")</f>
        <v>Subcontractors</v>
      </c>
      <c r="G20" s="3" t="s">
        <v>131</v>
      </c>
      <c r="H20" s="3" t="s">
        <v>132</v>
      </c>
      <c r="I20" s="14">
        <v>138000</v>
      </c>
      <c r="J20" s="30">
        <f>EOMONTH(tblActualCosts[[#This Row],[cat]],-1)+1</f>
        <v>46113</v>
      </c>
    </row>
    <row r="21" spans="1:10">
      <c r="A21" s="5">
        <v>46150</v>
      </c>
      <c r="B21" s="2" t="s">
        <v>133</v>
      </c>
      <c r="C21" s="3" t="s">
        <v>23</v>
      </c>
      <c r="D21" s="3" t="str">
        <f>_xll.XLOOKUP(tblActualCosts[[#This Row],[Project ID]],tblProjects[Project ID],tblProjects[Project Name],"Project Not Found")</f>
        <v>Highway Charlie</v>
      </c>
      <c r="E21" s="3" t="s">
        <v>65</v>
      </c>
      <c r="F21" s="3" t="str">
        <f>_xll.XLOOKUP(tblActualCosts[[#This Row],[Category ID]],tblCostCategories[Category ID],tblCostCategories[Cost Category],"category Not Found")</f>
        <v>Fuel &amp; Transport</v>
      </c>
      <c r="G21" s="3" t="s">
        <v>134</v>
      </c>
      <c r="H21" s="3" t="s">
        <v>135</v>
      </c>
      <c r="I21" s="14">
        <v>41000</v>
      </c>
      <c r="J21" s="30">
        <f>EOMONTH(tblActualCosts[[#This Row],[cat]],-1)+1</f>
        <v>46143</v>
      </c>
    </row>
    <row r="22" spans="1:10">
      <c r="A22" s="5">
        <v>46132</v>
      </c>
      <c r="B22" s="2" t="s">
        <v>136</v>
      </c>
      <c r="C22" s="3" t="s">
        <v>29</v>
      </c>
      <c r="D22" s="3" t="str">
        <f>_xll.XLOOKUP(tblActualCosts[[#This Row],[Project ID]],tblProjects[Project ID],tblProjects[Project Name],"Project Not Found")</f>
        <v>Rail Extension Delta</v>
      </c>
      <c r="E22" s="3" t="s">
        <v>57</v>
      </c>
      <c r="F22" s="3" t="str">
        <f>_xll.XLOOKUP(tblActualCosts[[#This Row],[Category ID]],tblCostCategories[Category ID],tblCostCategories[Cost Category],"category Not Found")</f>
        <v>Labour</v>
      </c>
      <c r="G22" s="3" t="s">
        <v>137</v>
      </c>
      <c r="H22" s="3" t="s">
        <v>138</v>
      </c>
      <c r="I22" s="14">
        <v>94000</v>
      </c>
      <c r="J22" s="30">
        <f>EOMONTH(tblActualCosts[[#This Row],[cat]],-1)+1</f>
        <v>46113</v>
      </c>
    </row>
    <row r="23" spans="1:10">
      <c r="A23" s="5">
        <v>46140</v>
      </c>
      <c r="B23" s="2" t="s">
        <v>139</v>
      </c>
      <c r="C23" s="3" t="s">
        <v>29</v>
      </c>
      <c r="D23" s="3" t="str">
        <f>_xll.XLOOKUP(tblActualCosts[[#This Row],[Project ID]],tblProjects[Project ID],tblProjects[Project Name],"Project Not Found")</f>
        <v>Rail Extension Delta</v>
      </c>
      <c r="E23" s="3" t="s">
        <v>59</v>
      </c>
      <c r="F23" s="3" t="str">
        <f>_xll.XLOOKUP(tblActualCosts[[#This Row],[Category ID]],tblCostCategories[Category ID],tblCostCategories[Cost Category],"category Not Found")</f>
        <v>Materials</v>
      </c>
      <c r="G23" s="3" t="s">
        <v>140</v>
      </c>
      <c r="H23" s="3" t="s">
        <v>141</v>
      </c>
      <c r="I23" s="14">
        <v>172000</v>
      </c>
      <c r="J23" s="30">
        <f>EOMONTH(tblActualCosts[[#This Row],[cat]],-1)+1</f>
        <v>46113</v>
      </c>
    </row>
    <row r="24" spans="1:10">
      <c r="A24" s="5">
        <v>46148</v>
      </c>
      <c r="B24" s="2" t="s">
        <v>142</v>
      </c>
      <c r="C24" s="3" t="s">
        <v>29</v>
      </c>
      <c r="D24" s="3" t="str">
        <f>_xll.XLOOKUP(tblActualCosts[[#This Row],[Project ID]],tblProjects[Project ID],tblProjects[Project Name],"Project Not Found")</f>
        <v>Rail Extension Delta</v>
      </c>
      <c r="E24" s="3" t="s">
        <v>61</v>
      </c>
      <c r="F24" s="3" t="str">
        <f>_xll.XLOOKUP(tblActualCosts[[#This Row],[Category ID]],tblCostCategories[Category ID],tblCostCategories[Cost Category],"category Not Found")</f>
        <v>Plant Hire</v>
      </c>
      <c r="G24" s="3" t="s">
        <v>143</v>
      </c>
      <c r="H24" s="3" t="s">
        <v>144</v>
      </c>
      <c r="I24" s="14">
        <v>88000</v>
      </c>
      <c r="J24" s="30">
        <f>EOMONTH(tblActualCosts[[#This Row],[cat]],-1)+1</f>
        <v>46143</v>
      </c>
    </row>
    <row r="25" spans="1:10">
      <c r="A25" s="5">
        <v>46161</v>
      </c>
      <c r="B25" s="2" t="s">
        <v>145</v>
      </c>
      <c r="C25" s="3" t="s">
        <v>29</v>
      </c>
      <c r="D25" s="3" t="str">
        <f>_xll.XLOOKUP(tblActualCosts[[#This Row],[Project ID]],tblProjects[Project ID],tblProjects[Project Name],"Project Not Found")</f>
        <v>Rail Extension Delta</v>
      </c>
      <c r="E25" s="3" t="s">
        <v>63</v>
      </c>
      <c r="F25" s="3" t="str">
        <f>_xll.XLOOKUP(tblActualCosts[[#This Row],[Category ID]],tblCostCategories[Category ID],tblCostCategories[Cost Category],"category Not Found")</f>
        <v>Subcontractors</v>
      </c>
      <c r="G25" s="3" t="s">
        <v>146</v>
      </c>
      <c r="H25" s="3" t="s">
        <v>147</v>
      </c>
      <c r="I25" s="14">
        <v>105000</v>
      </c>
      <c r="J25" s="30">
        <f>EOMONTH(tblActualCosts[[#This Row],[cat]],-1)+1</f>
        <v>46143</v>
      </c>
    </row>
    <row r="26" spans="1:10">
      <c r="A26" s="5">
        <v>46151</v>
      </c>
      <c r="B26" s="2" t="s">
        <v>148</v>
      </c>
      <c r="C26" s="3" t="s">
        <v>32</v>
      </c>
      <c r="D26" s="3" t="str">
        <f>_xll.XLOOKUP(tblActualCosts[[#This Row],[Project ID]],tblProjects[Project ID],tblProjects[Project Name],"Project Not Found")</f>
        <v>Flood Defence Echo</v>
      </c>
      <c r="E26" s="3" t="s">
        <v>57</v>
      </c>
      <c r="F26" s="3" t="str">
        <f>_xll.XLOOKUP(tblActualCosts[[#This Row],[Category ID]],tblCostCategories[Category ID],tblCostCategories[Cost Category],"category Not Found")</f>
        <v>Labour</v>
      </c>
      <c r="G26" s="3" t="s">
        <v>149</v>
      </c>
      <c r="H26" s="3" t="s">
        <v>150</v>
      </c>
      <c r="I26" s="14">
        <v>62000</v>
      </c>
      <c r="J26" s="30">
        <f>EOMONTH(tblActualCosts[[#This Row],[cat]],-1)+1</f>
        <v>46143</v>
      </c>
    </row>
    <row r="27" spans="1:10">
      <c r="A27" s="5">
        <v>46158</v>
      </c>
      <c r="B27" s="2" t="s">
        <v>151</v>
      </c>
      <c r="C27" s="3" t="s">
        <v>32</v>
      </c>
      <c r="D27" s="3" t="str">
        <f>_xll.XLOOKUP(tblActualCosts[[#This Row],[Project ID]],tblProjects[Project ID],tblProjects[Project Name],"Project Not Found")</f>
        <v>Flood Defence Echo</v>
      </c>
      <c r="E27" s="3" t="s">
        <v>61</v>
      </c>
      <c r="F27" s="3" t="str">
        <f>_xll.XLOOKUP(tblActualCosts[[#This Row],[Category ID]],tblCostCategories[Category ID],tblCostCategories[Cost Category],"category Not Found")</f>
        <v>Plant Hire</v>
      </c>
      <c r="G27" s="3" t="s">
        <v>152</v>
      </c>
      <c r="H27" s="3" t="s">
        <v>153</v>
      </c>
      <c r="I27" s="14">
        <v>74000</v>
      </c>
      <c r="J27" s="30">
        <f>EOMONTH(tblActualCosts[[#This Row],[cat]],-1)+1</f>
        <v>46143</v>
      </c>
    </row>
    <row r="28" spans="1:10">
      <c r="A28" s="5">
        <v>46165</v>
      </c>
      <c r="B28" s="2" t="s">
        <v>154</v>
      </c>
      <c r="C28" s="3" t="s">
        <v>32</v>
      </c>
      <c r="D28" s="3" t="str">
        <f>_xll.XLOOKUP(tblActualCosts[[#This Row],[Project ID]],tblProjects[Project ID],tblProjects[Project Name],"Project Not Found")</f>
        <v>Flood Defence Echo</v>
      </c>
      <c r="E28" s="3" t="s">
        <v>63</v>
      </c>
      <c r="F28" s="3" t="str">
        <f>_xll.XLOOKUP(tblActualCosts[[#This Row],[Category ID]],tblCostCategories[Category ID],tblCostCategories[Cost Category],"category Not Found")</f>
        <v>Subcontractors</v>
      </c>
      <c r="G28" s="3" t="s">
        <v>155</v>
      </c>
      <c r="H28" s="3" t="s">
        <v>156</v>
      </c>
      <c r="I28" s="14">
        <v>83000</v>
      </c>
      <c r="J28" s="30">
        <f>EOMONTH(tblActualCosts[[#This Row],[cat]],-1)+1</f>
        <v>46143</v>
      </c>
    </row>
    <row r="29" spans="1:10">
      <c r="A29" s="5">
        <v>46172</v>
      </c>
      <c r="B29" s="2" t="s">
        <v>157</v>
      </c>
      <c r="C29" s="3" t="s">
        <v>32</v>
      </c>
      <c r="D29" s="3" t="str">
        <f>_xll.XLOOKUP(tblActualCosts[[#This Row],[Project ID]],tblProjects[Project ID],tblProjects[Project Name],"Project Not Found")</f>
        <v>Flood Defence Echo</v>
      </c>
      <c r="E29" s="3" t="s">
        <v>59</v>
      </c>
      <c r="F29" s="3" t="str">
        <f>_xll.XLOOKUP(tblActualCosts[[#This Row],[Category ID]],tblCostCategories[Category ID],tblCostCategories[Cost Category],"category Not Found")</f>
        <v>Materials</v>
      </c>
      <c r="G29" s="3" t="s">
        <v>158</v>
      </c>
      <c r="H29" s="3" t="s">
        <v>159</v>
      </c>
      <c r="I29" s="14">
        <v>121000</v>
      </c>
      <c r="J29" s="30">
        <f>EOMONTH(tblActualCosts[[#This Row],[cat]],-1)+1</f>
        <v>46143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B8D16-EC43-49A8-9540-F53212513AC0}">
  <dimension ref="A1:I7"/>
  <sheetViews>
    <sheetView workbookViewId="0">
      <pane ySplit="1" topLeftCell="A2" activePane="bottomLeft" state="frozen"/>
      <selection pane="bottomLeft" activeCell="I4" sqref="I4"/>
    </sheetView>
  </sheetViews>
  <sheetFormatPr defaultRowHeight="14.5"/>
  <cols>
    <col min="1" max="1" width="12.36328125" customWidth="1"/>
    <col min="2" max="2" width="20.81640625" customWidth="1"/>
    <col min="3" max="3" width="23.90625" style="15" customWidth="1"/>
    <col min="4" max="4" width="16.90625" style="15" customWidth="1"/>
    <col min="5" max="5" width="22.81640625" style="15" customWidth="1"/>
    <col min="6" max="6" width="16.54296875" style="28" customWidth="1"/>
    <col min="7" max="7" width="17.7265625" customWidth="1"/>
    <col min="8" max="8" width="20.54296875" style="15" customWidth="1"/>
    <col min="9" max="9" width="19.54296875" style="22" customWidth="1"/>
    <col min="10" max="10" width="8.7265625" customWidth="1"/>
  </cols>
  <sheetData>
    <row r="1" spans="1:9" s="1" customFormat="1" ht="23.5" customHeight="1">
      <c r="A1" s="6" t="s">
        <v>0</v>
      </c>
      <c r="B1" s="6" t="s">
        <v>1</v>
      </c>
      <c r="C1" s="16" t="s">
        <v>6</v>
      </c>
      <c r="D1" s="16" t="s">
        <v>71</v>
      </c>
      <c r="E1" s="16" t="s">
        <v>72</v>
      </c>
      <c r="F1" s="27" t="s">
        <v>73</v>
      </c>
      <c r="G1" s="6" t="s">
        <v>160</v>
      </c>
      <c r="H1" s="16" t="s">
        <v>161</v>
      </c>
      <c r="I1" s="21" t="s">
        <v>162</v>
      </c>
    </row>
    <row r="2" spans="1:9">
      <c r="A2" s="3" t="s">
        <v>10</v>
      </c>
      <c r="B2" s="3" t="str">
        <f>_xll.XLOOKUP(tblReconciliation[[#This Row],[Project ID]],tblProjects[Project ID],tblProjects[Project Name],"Project Not Found")</f>
        <v>Bridge Alpha</v>
      </c>
      <c r="C2" s="14">
        <f>_xll.XLOOKUP(tblReconciliation[[#This Row],[Project ID]],tblProjects[Project ID],tblProjects[Contract Value],"Budget Not Found")</f>
        <v>5200000</v>
      </c>
      <c r="D2" s="14">
        <f>SUMIFS(tblBudget[Budget Amount],tblBudget[Project ID],tblReconciliation[[#This Row],[Project ID]])</f>
        <v>4680000</v>
      </c>
      <c r="E2" s="14">
        <f>tblReconciliation[[#This Row],[Contract Value]]-tblReconciliation[[#This Row],[Cost Budget]]</f>
        <v>520000</v>
      </c>
      <c r="F2" s="24">
        <f>IFERROR(tblReconciliation[[#This Row],[Planned Margin]]/tblReconciliation[[#This Row],[Contract Value]],0)</f>
        <v>0.1</v>
      </c>
      <c r="G2" s="14">
        <f>SUMIFS(tblActualCosts[Amount],tblActualCosts[Project ID],tblReconciliation[Project ID])</f>
        <v>861000</v>
      </c>
      <c r="H2" s="14">
        <f>tblReconciliation[[#This Row],[Cost Budget]]-tblReconciliation[[#This Row],[Actual Spend]]</f>
        <v>3819000</v>
      </c>
      <c r="I2" s="23">
        <f>IFERROR(tblReconciliation[[#This Row],[Actual Spend]]/tblReconciliation[[#This Row],[Cost Budget]],0)</f>
        <v>0.18397435897435899</v>
      </c>
    </row>
    <row r="3" spans="1:9">
      <c r="A3" s="3" t="s">
        <v>17</v>
      </c>
      <c r="B3" s="3" t="str">
        <f>_xll.XLOOKUP(tblReconciliation[[#This Row],[Project ID]],tblProjects[Project ID],tblProjects[Project Name],"Project Not Found")</f>
        <v>Water Main Bravo</v>
      </c>
      <c r="C3" s="14">
        <f>_xll.XLOOKUP(tblReconciliation[[#This Row],[Project ID]],tblProjects[Project ID],tblProjects[Contract Value],"Budget Not Found")</f>
        <v>3800000</v>
      </c>
      <c r="D3" s="14">
        <f>SUMIFS(tblBudget[Budget Amount],tblBudget[Project ID],tblReconciliation[[#This Row],[Project ID]])</f>
        <v>3420000</v>
      </c>
      <c r="E3" s="14">
        <f>tblReconciliation[[#This Row],[Contract Value]]-tblReconciliation[[#This Row],[Cost Budget]]</f>
        <v>380000</v>
      </c>
      <c r="F3" s="24">
        <f>IFERROR(tblReconciliation[[#This Row],[Planned Margin]]/tblReconciliation[[#This Row],[Contract Value]],0)</f>
        <v>0.1</v>
      </c>
      <c r="G3" s="14">
        <f>SUMIFS(tblActualCosts[Amount],tblActualCosts[Project ID],tblReconciliation[Project ID])</f>
        <v>504000</v>
      </c>
      <c r="H3" s="14">
        <f>tblReconciliation[[#This Row],[Cost Budget]]-tblReconciliation[[#This Row],[Actual Spend]]</f>
        <v>2916000</v>
      </c>
      <c r="I3" s="23">
        <f>IFERROR(tblReconciliation[[#This Row],[Actual Spend]]/tblReconciliation[[#This Row],[Cost Budget]],0)</f>
        <v>0.14736842105263157</v>
      </c>
    </row>
    <row r="4" spans="1:9">
      <c r="A4" s="3" t="s">
        <v>23</v>
      </c>
      <c r="B4" s="3" t="str">
        <f>_xll.XLOOKUP(tblReconciliation[[#This Row],[Project ID]],tblProjects[Project ID],tblProjects[Project Name],"Project Not Found")</f>
        <v>Highway Charlie</v>
      </c>
      <c r="C4" s="14">
        <f>_xll.XLOOKUP(tblReconciliation[[#This Row],[Project ID]],tblProjects[Project ID],tblProjects[Contract Value],"Budget Not Found")</f>
        <v>6100000</v>
      </c>
      <c r="D4" s="14">
        <f>SUMIFS(tblBudget[Budget Amount],tblBudget[Project ID],tblReconciliation[[#This Row],[Project ID]])</f>
        <v>5490000</v>
      </c>
      <c r="E4" s="14">
        <f>tblReconciliation[[#This Row],[Contract Value]]-tblReconciliation[[#This Row],[Cost Budget]]</f>
        <v>610000</v>
      </c>
      <c r="F4" s="24">
        <f>IFERROR(tblReconciliation[[#This Row],[Planned Margin]]/tblReconciliation[[#This Row],[Contract Value]],0)</f>
        <v>0.1</v>
      </c>
      <c r="G4" s="14">
        <f>SUMIFS(tblActualCosts[Amount],tblActualCosts[Project ID],tblReconciliation[Project ID])</f>
        <v>877000</v>
      </c>
      <c r="H4" s="14">
        <f>tblReconciliation[[#This Row],[Cost Budget]]-tblReconciliation[[#This Row],[Actual Spend]]</f>
        <v>4613000</v>
      </c>
      <c r="I4" s="23">
        <f>IFERROR(tblReconciliation[[#This Row],[Actual Spend]]/tblReconciliation[[#This Row],[Cost Budget]],0)</f>
        <v>0.15974499089253189</v>
      </c>
    </row>
    <row r="5" spans="1:9">
      <c r="A5" s="3" t="s">
        <v>29</v>
      </c>
      <c r="B5" s="3" t="str">
        <f>_xll.XLOOKUP(tblReconciliation[[#This Row],[Project ID]],tblProjects[Project ID],tblProjects[Project Name],"Project Not Found")</f>
        <v>Rail Extension Delta</v>
      </c>
      <c r="C5" s="14">
        <f>_xll.XLOOKUP(tblReconciliation[[#This Row],[Project ID]],tblProjects[Project ID],tblProjects[Contract Value],"Budget Not Found")</f>
        <v>4700000</v>
      </c>
      <c r="D5" s="14">
        <f>SUMIFS(tblBudget[Budget Amount],tblBudget[Project ID],tblReconciliation[[#This Row],[Project ID]])</f>
        <v>4230000</v>
      </c>
      <c r="E5" s="14">
        <f>tblReconciliation[[#This Row],[Contract Value]]-tblReconciliation[[#This Row],[Cost Budget]]</f>
        <v>470000</v>
      </c>
      <c r="F5" s="24">
        <f>IFERROR(tblReconciliation[[#This Row],[Planned Margin]]/tblReconciliation[[#This Row],[Contract Value]],0)</f>
        <v>0.1</v>
      </c>
      <c r="G5" s="14">
        <f>SUMIFS(tblActualCosts[Amount],tblActualCosts[Project ID],tblReconciliation[Project ID])</f>
        <v>459000</v>
      </c>
      <c r="H5" s="14">
        <f>tblReconciliation[[#This Row],[Cost Budget]]-tblReconciliation[[#This Row],[Actual Spend]]</f>
        <v>3771000</v>
      </c>
      <c r="I5" s="23">
        <f>IFERROR(tblReconciliation[[#This Row],[Actual Spend]]/tblReconciliation[[#This Row],[Cost Budget]],0)</f>
        <v>0.10851063829787234</v>
      </c>
    </row>
    <row r="6" spans="1:9">
      <c r="A6" s="3" t="s">
        <v>32</v>
      </c>
      <c r="B6" s="3" t="str">
        <f>_xll.XLOOKUP(tblReconciliation[[#This Row],[Project ID]],tblProjects[Project ID],tblProjects[Project Name],"Project Not Found")</f>
        <v>Flood Defence Echo</v>
      </c>
      <c r="C6" s="14">
        <f>_xll.XLOOKUP(tblReconciliation[[#This Row],[Project ID]],tblProjects[Project ID],tblProjects[Contract Value],"Budget Not Found")</f>
        <v>2950000</v>
      </c>
      <c r="D6" s="14">
        <f>SUMIFS(tblBudget[Budget Amount],tblBudget[Project ID],tblReconciliation[[#This Row],[Project ID]])</f>
        <v>2655000</v>
      </c>
      <c r="E6" s="14">
        <f>tblReconciliation[[#This Row],[Contract Value]]-tblReconciliation[[#This Row],[Cost Budget]]</f>
        <v>295000</v>
      </c>
      <c r="F6" s="24">
        <f>IFERROR(tblReconciliation[[#This Row],[Planned Margin]]/tblReconciliation[[#This Row],[Contract Value]],0)</f>
        <v>0.1</v>
      </c>
      <c r="G6" s="14">
        <f>SUMIFS(tblActualCosts[Amount],tblActualCosts[Project ID],tblReconciliation[Project ID])</f>
        <v>340000</v>
      </c>
      <c r="H6" s="14">
        <f>tblReconciliation[[#This Row],[Cost Budget]]-tblReconciliation[[#This Row],[Actual Spend]]</f>
        <v>2315000</v>
      </c>
      <c r="I6" s="23">
        <f>IFERROR(tblReconciliation[[#This Row],[Actual Spend]]/tblReconciliation[[#This Row],[Cost Budget]],0)</f>
        <v>0.128060263653484</v>
      </c>
    </row>
    <row r="7" spans="1:9">
      <c r="A7" s="3" t="s">
        <v>166</v>
      </c>
      <c r="B7" s="3"/>
      <c r="C7" s="14">
        <f>SUBTOTAL(109,tblReconciliation[Contract Value])</f>
        <v>22750000</v>
      </c>
      <c r="D7" s="14">
        <f>SUBTOTAL(109,tblReconciliation[Cost Budget])</f>
        <v>20475000</v>
      </c>
      <c r="E7" s="14">
        <f>SUBTOTAL(109,tblReconciliation[Planned Margin])</f>
        <v>2275000</v>
      </c>
      <c r="F7" s="35"/>
      <c r="G7" s="14">
        <f>SUBTOTAL(109,tblReconciliation[Actual Spend])</f>
        <v>3041000</v>
      </c>
      <c r="H7" s="14">
        <f>SUBTOTAL(109,tblReconciliation[Remaining Budget])</f>
        <v>17434000</v>
      </c>
      <c r="I7" s="23"/>
    </row>
  </sheetData>
  <conditionalFormatting sqref="I2:I6">
    <cfRule type="cellIs" dxfId="20" priority="1" operator="between">
      <formula>0.5</formula>
      <formula>0.8</formula>
    </cfRule>
    <cfRule type="cellIs" dxfId="19" priority="2" operator="greaterThan">
      <formula>0.8</formula>
    </cfRule>
    <cfRule type="cellIs" dxfId="18" priority="3" operator="lessThan">
      <formula>0.5</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55205-67A4-4F86-A1F1-6C4064CE500A}">
  <dimension ref="A1:I37"/>
  <sheetViews>
    <sheetView workbookViewId="0">
      <pane ySplit="1" topLeftCell="A2" activePane="bottomLeft" state="frozen"/>
      <selection pane="bottomLeft" activeCell="I45" sqref="I45"/>
    </sheetView>
  </sheetViews>
  <sheetFormatPr defaultRowHeight="14.5"/>
  <cols>
    <col min="1" max="1" width="17.7265625" customWidth="1"/>
    <col min="2" max="2" width="21.81640625" customWidth="1"/>
    <col min="3" max="3" width="16.36328125" customWidth="1"/>
    <col min="4" max="4" width="22" style="18" customWidth="1"/>
    <col min="5" max="5" width="18.26953125" style="15" customWidth="1"/>
    <col min="6" max="6" width="15.7265625" style="15" customWidth="1"/>
    <col min="7" max="7" width="18.7265625" style="15" customWidth="1"/>
    <col min="8" max="8" width="18" style="26" customWidth="1"/>
    <col min="9" max="9" width="23.7265625" customWidth="1"/>
    <col min="10" max="10" width="8.7265625" customWidth="1"/>
  </cols>
  <sheetData>
    <row r="1" spans="1:9" s="1" customFormat="1">
      <c r="A1" s="6" t="s">
        <v>0</v>
      </c>
      <c r="B1" s="6" t="s">
        <v>1</v>
      </c>
      <c r="C1" s="6" t="s">
        <v>54</v>
      </c>
      <c r="D1" s="6" t="s">
        <v>55</v>
      </c>
      <c r="E1" s="16" t="s">
        <v>163</v>
      </c>
      <c r="F1" s="16" t="s">
        <v>164</v>
      </c>
      <c r="G1" s="16" t="s">
        <v>161</v>
      </c>
      <c r="H1" s="25" t="s">
        <v>162</v>
      </c>
      <c r="I1" s="6" t="s">
        <v>165</v>
      </c>
    </row>
    <row r="2" spans="1:9">
      <c r="A2" s="8" t="s">
        <v>10</v>
      </c>
      <c r="B2" t="str">
        <f>_xll.XLOOKUP(tblVariance[[#This Row],[Project ID]],tblProjects[Project ID],tblProjects[Project Name],"Project not found")</f>
        <v>Bridge Alpha</v>
      </c>
      <c r="C2" s="8" t="s">
        <v>57</v>
      </c>
      <c r="D2" s="18" t="str">
        <f>_xll.XLOOKUP(tblVariance[[#This Row],[Category ID]],tblCostCategories[Category ID],tblCostCategories[Cost Category],"Category Not Found")</f>
        <v>Labour</v>
      </c>
      <c r="E2" s="15">
        <f>SUMIFS(tblBudget[Budget Amount],tblBudget[Project ID],tblVariance[[#This Row],[Project ID]],tblBudget[Category ID], tblVariance[[#This Row],[Category ID]])</f>
        <v>1170000</v>
      </c>
      <c r="F2" s="15">
        <f>SUMIFS(tblActualCosts[Amount],tblActualCosts[Project ID],tblVariance[[#This Row],[Project ID]],tblActualCosts[Category ID],tblVariance[[#This Row],[Category ID]])</f>
        <v>283000</v>
      </c>
      <c r="G2" s="15">
        <f>tblVariance[[#This Row],[Budget]]-tblVariance[[#This Row],[Actual Cost]]</f>
        <v>887000</v>
      </c>
      <c r="H2" s="26">
        <f>IFERROR(tblVariance[[#This Row],[Actual Cost]]/tblVariance[[#This Row],[Budget]],0)</f>
        <v>0.24188034188034188</v>
      </c>
      <c r="I2" t="str">
        <f>IF(tblVariance[[#This Row],[Actual Cost]]&gt;tblVariance[[#This Row],[Budget]],"Over Budget",IF(tblVariance[[#This Row],[Budget Used %]]&gt;=0.8,"High Usage",IF(tblVariance[[#This Row],[Budget Used %]]&gt;=0.5,"Monitor","Within Budget")))</f>
        <v>Within Budget</v>
      </c>
    </row>
    <row r="3" spans="1:9">
      <c r="A3" s="8" t="s">
        <v>10</v>
      </c>
      <c r="B3" t="str">
        <f>_xll.XLOOKUP(tblVariance[[#This Row],[Project ID]],tblProjects[Project ID],tblProjects[Project Name],"Project not found")</f>
        <v>Bridge Alpha</v>
      </c>
      <c r="C3" s="8" t="s">
        <v>59</v>
      </c>
      <c r="D3" s="18" t="str">
        <f>_xll.XLOOKUP(tblVariance[[#This Row],[Category ID]],tblCostCategories[Category ID],tblCostCategories[Cost Category],"Category Not Found")</f>
        <v>Materials</v>
      </c>
      <c r="E3" s="15">
        <f>SUMIFS(tblBudget[Budget Amount],tblBudget[Project ID],tblVariance[[#This Row],[Project ID]],tblBudget[Category ID], tblVariance[[#This Row],[Category ID]])</f>
        <v>1498000</v>
      </c>
      <c r="F3" s="15">
        <f>SUMIFS(tblActualCosts[Amount],tblActualCosts[Project ID],tblVariance[[#This Row],[Project ID]],tblActualCosts[Category ID],tblVariance[[#This Row],[Category ID]])</f>
        <v>327000</v>
      </c>
      <c r="G3" s="15">
        <f>tblVariance[[#This Row],[Budget]]-tblVariance[[#This Row],[Actual Cost]]</f>
        <v>1171000</v>
      </c>
      <c r="H3" s="26">
        <f>IFERROR(tblVariance[[#This Row],[Actual Cost]]/tblVariance[[#This Row],[Budget]],0)</f>
        <v>0.21829105473965288</v>
      </c>
      <c r="I3" t="str">
        <f>IF(tblVariance[[#This Row],[Actual Cost]]&gt;tblVariance[[#This Row],[Budget]],"Over Budget",IF(tblVariance[[#This Row],[Budget Used %]]&gt;=0.8,"High Usage",IF(tblVariance[[#This Row],[Budget Used %]]&gt;=0.5,"Monitor","Within Budget")))</f>
        <v>Within Budget</v>
      </c>
    </row>
    <row r="4" spans="1:9">
      <c r="A4" s="8" t="s">
        <v>10</v>
      </c>
      <c r="B4" t="str">
        <f>_xll.XLOOKUP(tblVariance[[#This Row],[Project ID]],tblProjects[Project ID],tblProjects[Project Name],"Project not found")</f>
        <v>Bridge Alpha</v>
      </c>
      <c r="C4" s="8" t="s">
        <v>61</v>
      </c>
      <c r="D4" s="18" t="str">
        <f>_xll.XLOOKUP(tblVariance[[#This Row],[Category ID]],tblCostCategories[Category ID],tblCostCategories[Cost Category],"Category Not Found")</f>
        <v>Plant Hire</v>
      </c>
      <c r="E4" s="15">
        <f>SUMIFS(tblBudget[Budget Amount],tblBudget[Project ID],tblVariance[[#This Row],[Project ID]],tblBudget[Category ID], tblVariance[[#This Row],[Category ID]])</f>
        <v>608000</v>
      </c>
      <c r="F4" s="15">
        <f>SUMIFS(tblActualCosts[Amount],tblActualCosts[Project ID],tblVariance[[#This Row],[Project ID]],tblActualCosts[Category ID],tblVariance[[#This Row],[Category ID]])</f>
        <v>46000</v>
      </c>
      <c r="G4" s="15">
        <f>tblVariance[[#This Row],[Budget]]-tblVariance[[#This Row],[Actual Cost]]</f>
        <v>562000</v>
      </c>
      <c r="H4" s="26">
        <f>IFERROR(tblVariance[[#This Row],[Actual Cost]]/tblVariance[[#This Row],[Budget]],0)</f>
        <v>7.5657894736842105E-2</v>
      </c>
      <c r="I4" t="str">
        <f>IF(tblVariance[[#This Row],[Actual Cost]]&gt;tblVariance[[#This Row],[Budget]],"Over Budget",IF(tblVariance[[#This Row],[Budget Used %]]&gt;=0.8,"High Usage",IF(tblVariance[[#This Row],[Budget Used %]]&gt;=0.5,"Monitor","Within Budget")))</f>
        <v>Within Budget</v>
      </c>
    </row>
    <row r="5" spans="1:9">
      <c r="A5" s="8" t="s">
        <v>10</v>
      </c>
      <c r="B5" t="str">
        <f>_xll.XLOOKUP(tblVariance[[#This Row],[Project ID]],tblProjects[Project ID],tblProjects[Project Name],"Project not found")</f>
        <v>Bridge Alpha</v>
      </c>
      <c r="C5" s="8" t="s">
        <v>63</v>
      </c>
      <c r="D5" s="18" t="str">
        <f>_xll.XLOOKUP(tblVariance[[#This Row],[Category ID]],tblCostCategories[Category ID],tblCostCategories[Cost Category],"Category Not Found")</f>
        <v>Subcontractors</v>
      </c>
      <c r="E5" s="15">
        <f>SUMIFS(tblBudget[Budget Amount],tblBudget[Project ID],tblVariance[[#This Row],[Project ID]],tblBudget[Category ID], tblVariance[[#This Row],[Category ID]])</f>
        <v>796000</v>
      </c>
      <c r="F5" s="15">
        <f>SUMIFS(tblActualCosts[Amount],tblActualCosts[Project ID],tblVariance[[#This Row],[Project ID]],tblActualCosts[Category ID],tblVariance[[#This Row],[Category ID]])</f>
        <v>125000</v>
      </c>
      <c r="G5" s="15">
        <f>tblVariance[[#This Row],[Budget]]-tblVariance[[#This Row],[Actual Cost]]</f>
        <v>671000</v>
      </c>
      <c r="H5" s="26">
        <f>IFERROR(tblVariance[[#This Row],[Actual Cost]]/tblVariance[[#This Row],[Budget]],0)</f>
        <v>0.157035175879397</v>
      </c>
      <c r="I5" t="str">
        <f>IF(tblVariance[[#This Row],[Actual Cost]]&gt;tblVariance[[#This Row],[Budget]],"Over Budget",IF(tblVariance[[#This Row],[Budget Used %]]&gt;=0.8,"High Usage",IF(tblVariance[[#This Row],[Budget Used %]]&gt;=0.5,"Monitor","Within Budget")))</f>
        <v>Within Budget</v>
      </c>
    </row>
    <row r="6" spans="1:9">
      <c r="A6" s="8" t="s">
        <v>10</v>
      </c>
      <c r="B6" t="str">
        <f>_xll.XLOOKUP(tblVariance[[#This Row],[Project ID]],tblProjects[Project ID],tblProjects[Project Name],"Project not found")</f>
        <v>Bridge Alpha</v>
      </c>
      <c r="C6" s="8" t="s">
        <v>65</v>
      </c>
      <c r="D6" s="18" t="str">
        <f>_xll.XLOOKUP(tblVariance[[#This Row],[Category ID]],tblCostCategories[Category ID],tblCostCategories[Cost Category],"Category Not Found")</f>
        <v>Fuel &amp; Transport</v>
      </c>
      <c r="E6" s="15">
        <f>SUMIFS(tblBudget[Budget Amount],tblBudget[Project ID],tblVariance[[#This Row],[Project ID]],tblBudget[Category ID], tblVariance[[#This Row],[Category ID]])</f>
        <v>187000</v>
      </c>
      <c r="F6" s="15">
        <f>SUMIFS(tblActualCosts[Amount],tblActualCosts[Project ID],tblVariance[[#This Row],[Project ID]],tblActualCosts[Category ID],tblVariance[[#This Row],[Category ID]])</f>
        <v>32000</v>
      </c>
      <c r="G6" s="15">
        <f>tblVariance[[#This Row],[Budget]]-tblVariance[[#This Row],[Actual Cost]]</f>
        <v>155000</v>
      </c>
      <c r="H6" s="26">
        <f>IFERROR(tblVariance[[#This Row],[Actual Cost]]/tblVariance[[#This Row],[Budget]],0)</f>
        <v>0.17112299465240641</v>
      </c>
      <c r="I6" t="str">
        <f>IF(tblVariance[[#This Row],[Actual Cost]]&gt;tblVariance[[#This Row],[Budget]],"Over Budget",IF(tblVariance[[#This Row],[Budget Used %]]&gt;=0.8,"High Usage",IF(tblVariance[[#This Row],[Budget Used %]]&gt;=0.5,"Monitor","Within Budget")))</f>
        <v>Within Budget</v>
      </c>
    </row>
    <row r="7" spans="1:9">
      <c r="A7" s="8" t="s">
        <v>10</v>
      </c>
      <c r="B7" t="str">
        <f>_xll.XLOOKUP(tblVariance[[#This Row],[Project ID]],tblProjects[Project ID],tblProjects[Project Name],"Project not found")</f>
        <v>Bridge Alpha</v>
      </c>
      <c r="C7" s="8" t="s">
        <v>67</v>
      </c>
      <c r="D7" s="18" t="str">
        <f>_xll.XLOOKUP(tblVariance[[#This Row],[Category ID]],tblCostCategories[Category ID],tblCostCategories[Cost Category],"Category Not Found")</f>
        <v>Site Overheads</v>
      </c>
      <c r="E7" s="15">
        <f>SUMIFS(tblBudget[Budget Amount],tblBudget[Project ID],tblVariance[[#This Row],[Project ID]],tblBudget[Category ID], tblVariance[[#This Row],[Category ID]])</f>
        <v>281000</v>
      </c>
      <c r="F7" s="15">
        <f>SUMIFS(tblActualCosts[Amount],tblActualCosts[Project ID],tblVariance[[#This Row],[Project ID]],tblActualCosts[Category ID],tblVariance[[#This Row],[Category ID]])</f>
        <v>48000</v>
      </c>
      <c r="G7" s="15">
        <f>tblVariance[[#This Row],[Budget]]-tblVariance[[#This Row],[Actual Cost]]</f>
        <v>233000</v>
      </c>
      <c r="H7" s="26">
        <f>IFERROR(tblVariance[[#This Row],[Actual Cost]]/tblVariance[[#This Row],[Budget]],0)</f>
        <v>0.1708185053380783</v>
      </c>
      <c r="I7" t="str">
        <f>IF(tblVariance[[#This Row],[Actual Cost]]&gt;tblVariance[[#This Row],[Budget]],"Over Budget",IF(tblVariance[[#This Row],[Budget Used %]]&gt;=0.8,"High Usage",IF(tblVariance[[#This Row],[Budget Used %]]&gt;=0.5,"Monitor","Within Budget")))</f>
        <v>Within Budget</v>
      </c>
    </row>
    <row r="8" spans="1:9">
      <c r="A8" s="8" t="s">
        <v>10</v>
      </c>
      <c r="B8" t="str">
        <f>_xll.XLOOKUP(tblVariance[[#This Row],[Project ID]],tblProjects[Project ID],tblProjects[Project Name],"Project not found")</f>
        <v>Bridge Alpha</v>
      </c>
      <c r="C8" s="8" t="s">
        <v>69</v>
      </c>
      <c r="D8" s="18" t="str">
        <f>_xll.XLOOKUP(tblVariance[[#This Row],[Category ID]],tblCostCategories[Category ID],tblCostCategories[Cost Category],"Category Not Found")</f>
        <v>Contingency</v>
      </c>
      <c r="E8" s="15">
        <f>SUMIFS(tblBudget[Budget Amount],tblBudget[Project ID],tblVariance[[#This Row],[Project ID]],tblBudget[Category ID], tblVariance[[#This Row],[Category ID]])</f>
        <v>140000</v>
      </c>
      <c r="F8" s="15">
        <f>SUMIFS(tblActualCosts[Amount],tblActualCosts[Project ID],tblVariance[[#This Row],[Project ID]],tblActualCosts[Category ID],tblVariance[[#This Row],[Category ID]])</f>
        <v>0</v>
      </c>
      <c r="G8" s="15">
        <f>tblVariance[[#This Row],[Budget]]-tblVariance[[#This Row],[Actual Cost]]</f>
        <v>140000</v>
      </c>
      <c r="H8" s="26">
        <f>IFERROR(tblVariance[[#This Row],[Actual Cost]]/tblVariance[[#This Row],[Budget]],0)</f>
        <v>0</v>
      </c>
      <c r="I8" t="str">
        <f>IF(tblVariance[[#This Row],[Actual Cost]]&gt;tblVariance[[#This Row],[Budget]],"Over Budget",IF(tblVariance[[#This Row],[Budget Used %]]&gt;=0.8,"High Usage",IF(tblVariance[[#This Row],[Budget Used %]]&gt;=0.5,"Monitor","Within Budget")))</f>
        <v>Within Budget</v>
      </c>
    </row>
    <row r="9" spans="1:9">
      <c r="A9" s="8" t="s">
        <v>17</v>
      </c>
      <c r="B9" t="str">
        <f>_xll.XLOOKUP(tblVariance[[#This Row],[Project ID]],tblProjects[Project ID],tblProjects[Project Name],"Project not found")</f>
        <v>Water Main Bravo</v>
      </c>
      <c r="C9" s="8" t="s">
        <v>57</v>
      </c>
      <c r="D9" s="18" t="str">
        <f>_xll.XLOOKUP(tblVariance[[#This Row],[Category ID]],tblCostCategories[Category ID],tblCostCategories[Cost Category],"Category Not Found")</f>
        <v>Labour</v>
      </c>
      <c r="E9" s="15">
        <f>SUMIFS(tblBudget[Budget Amount],tblBudget[Project ID],tblVariance[[#This Row],[Project ID]],tblBudget[Category ID], tblVariance[[#This Row],[Category ID]])</f>
        <v>958000</v>
      </c>
      <c r="F9" s="15">
        <f>SUMIFS(tblActualCosts[Amount],tblActualCosts[Project ID],tblVariance[[#This Row],[Project ID]],tblActualCosts[Category ID],tblVariance[[#This Row],[Category ID]])</f>
        <v>163000</v>
      </c>
      <c r="G9" s="15">
        <f>tblVariance[[#This Row],[Budget]]-tblVariance[[#This Row],[Actual Cost]]</f>
        <v>795000</v>
      </c>
      <c r="H9" s="26">
        <f>IFERROR(tblVariance[[#This Row],[Actual Cost]]/tblVariance[[#This Row],[Budget]],0)</f>
        <v>0.17014613778705637</v>
      </c>
      <c r="I9" t="str">
        <f>IF(tblVariance[[#This Row],[Actual Cost]]&gt;tblVariance[[#This Row],[Budget]],"Over Budget",IF(tblVariance[[#This Row],[Budget Used %]]&gt;=0.8,"High Usage",IF(tblVariance[[#This Row],[Budget Used %]]&gt;=0.5,"Monitor","Within Budget")))</f>
        <v>Within Budget</v>
      </c>
    </row>
    <row r="10" spans="1:9">
      <c r="A10" s="8" t="s">
        <v>17</v>
      </c>
      <c r="B10" t="str">
        <f>_xll.XLOOKUP(tblVariance[[#This Row],[Project ID]],tblProjects[Project ID],tblProjects[Project Name],"Project not found")</f>
        <v>Water Main Bravo</v>
      </c>
      <c r="C10" s="8" t="s">
        <v>59</v>
      </c>
      <c r="D10" s="18" t="str">
        <f>_xll.XLOOKUP(tblVariance[[#This Row],[Category ID]],tblCostCategories[Category ID],tblCostCategories[Cost Category],"Category Not Found")</f>
        <v>Materials</v>
      </c>
      <c r="E10" s="15">
        <f>SUMIFS(tblBudget[Budget Amount],tblBudget[Project ID],tblVariance[[#This Row],[Project ID]],tblBudget[Category ID], tblVariance[[#This Row],[Category ID]])</f>
        <v>923000</v>
      </c>
      <c r="F10" s="15">
        <f>SUMIFS(tblActualCosts[Amount],tblActualCosts[Project ID],tblVariance[[#This Row],[Project ID]],tblActualCosts[Category ID],tblVariance[[#This Row],[Category ID]])</f>
        <v>154000</v>
      </c>
      <c r="G10" s="15">
        <f>tblVariance[[#This Row],[Budget]]-tblVariance[[#This Row],[Actual Cost]]</f>
        <v>769000</v>
      </c>
      <c r="H10" s="26">
        <f>IFERROR(tblVariance[[#This Row],[Actual Cost]]/tblVariance[[#This Row],[Budget]],0)</f>
        <v>0.16684723726977249</v>
      </c>
      <c r="I10" t="str">
        <f>IF(tblVariance[[#This Row],[Actual Cost]]&gt;tblVariance[[#This Row],[Budget]],"Over Budget",IF(tblVariance[[#This Row],[Budget Used %]]&gt;=0.8,"High Usage",IF(tblVariance[[#This Row],[Budget Used %]]&gt;=0.5,"Monitor","Within Budget")))</f>
        <v>Within Budget</v>
      </c>
    </row>
    <row r="11" spans="1:9">
      <c r="A11" s="8" t="s">
        <v>17</v>
      </c>
      <c r="B11" t="str">
        <f>_xll.XLOOKUP(tblVariance[[#This Row],[Project ID]],tblProjects[Project ID],tblProjects[Project Name],"Project not found")</f>
        <v>Water Main Bravo</v>
      </c>
      <c r="C11" s="8" t="s">
        <v>61</v>
      </c>
      <c r="D11" s="18" t="str">
        <f>_xll.XLOOKUP(tblVariance[[#This Row],[Category ID]],tblCostCategories[Category ID],tblCostCategories[Cost Category],"Category Not Found")</f>
        <v>Plant Hire</v>
      </c>
      <c r="E11" s="15">
        <f>SUMIFS(tblBudget[Budget Amount],tblBudget[Project ID],tblVariance[[#This Row],[Project ID]],tblBudget[Category ID], tblVariance[[#This Row],[Category ID]])</f>
        <v>513000</v>
      </c>
      <c r="F11" s="15">
        <f>SUMIFS(tblActualCosts[Amount],tblActualCosts[Project ID],tblVariance[[#This Row],[Project ID]],tblActualCosts[Category ID],tblVariance[[#This Row],[Category ID]])</f>
        <v>68000</v>
      </c>
      <c r="G11" s="15">
        <f>tblVariance[[#This Row],[Budget]]-tblVariance[[#This Row],[Actual Cost]]</f>
        <v>445000</v>
      </c>
      <c r="H11" s="26">
        <f>IFERROR(tblVariance[[#This Row],[Actual Cost]]/tblVariance[[#This Row],[Budget]],0)</f>
        <v>0.13255360623781676</v>
      </c>
      <c r="I11" t="str">
        <f>IF(tblVariance[[#This Row],[Actual Cost]]&gt;tblVariance[[#This Row],[Budget]],"Over Budget",IF(tblVariance[[#This Row],[Budget Used %]]&gt;=0.8,"High Usage",IF(tblVariance[[#This Row],[Budget Used %]]&gt;=0.5,"Monitor","Within Budget")))</f>
        <v>Within Budget</v>
      </c>
    </row>
    <row r="12" spans="1:9">
      <c r="A12" s="8" t="s">
        <v>17</v>
      </c>
      <c r="B12" t="str">
        <f>_xll.XLOOKUP(tblVariance[[#This Row],[Project ID]],tblProjects[Project ID],tblProjects[Project Name],"Project not found")</f>
        <v>Water Main Bravo</v>
      </c>
      <c r="C12" s="8" t="s">
        <v>63</v>
      </c>
      <c r="D12" s="18" t="str">
        <f>_xll.XLOOKUP(tblVariance[[#This Row],[Category ID]],tblCostCategories[Category ID],tblCostCategories[Cost Category],"Category Not Found")</f>
        <v>Subcontractors</v>
      </c>
      <c r="E12" s="15">
        <f>SUMIFS(tblBudget[Budget Amount],tblBudget[Project ID],tblVariance[[#This Row],[Project ID]],tblBudget[Category ID], tblVariance[[#This Row],[Category ID]])</f>
        <v>547000</v>
      </c>
      <c r="F12" s="15">
        <f>SUMIFS(tblActualCosts[Amount],tblActualCosts[Project ID],tblVariance[[#This Row],[Project ID]],tblActualCosts[Category ID],tblVariance[[#This Row],[Category ID]])</f>
        <v>92000</v>
      </c>
      <c r="G12" s="15">
        <f>tblVariance[[#This Row],[Budget]]-tblVariance[[#This Row],[Actual Cost]]</f>
        <v>455000</v>
      </c>
      <c r="H12" s="26">
        <f>IFERROR(tblVariance[[#This Row],[Actual Cost]]/tblVariance[[#This Row],[Budget]],0)</f>
        <v>0.16819012797074953</v>
      </c>
      <c r="I12" t="str">
        <f>IF(tblVariance[[#This Row],[Actual Cost]]&gt;tblVariance[[#This Row],[Budget]],"Over Budget",IF(tblVariance[[#This Row],[Budget Used %]]&gt;=0.8,"High Usage",IF(tblVariance[[#This Row],[Budget Used %]]&gt;=0.5,"Monitor","Within Budget")))</f>
        <v>Within Budget</v>
      </c>
    </row>
    <row r="13" spans="1:9">
      <c r="A13" s="8" t="s">
        <v>17</v>
      </c>
      <c r="B13" t="str">
        <f>_xll.XLOOKUP(tblVariance[[#This Row],[Project ID]],tblProjects[Project ID],tblProjects[Project Name],"Project not found")</f>
        <v>Water Main Bravo</v>
      </c>
      <c r="C13" s="8" t="s">
        <v>65</v>
      </c>
      <c r="D13" s="18" t="str">
        <f>_xll.XLOOKUP(tblVariance[[#This Row],[Category ID]],tblCostCategories[Category ID],tblCostCategories[Cost Category],"Category Not Found")</f>
        <v>Fuel &amp; Transport</v>
      </c>
      <c r="E13" s="15">
        <f>SUMIFS(tblBudget[Budget Amount],tblBudget[Project ID],tblVariance[[#This Row],[Project ID]],tblBudget[Category ID], tblVariance[[#This Row],[Category ID]])</f>
        <v>171000</v>
      </c>
      <c r="F13" s="15">
        <f>SUMIFS(tblActualCosts[Amount],tblActualCosts[Project ID],tblVariance[[#This Row],[Project ID]],tblActualCosts[Category ID],tblVariance[[#This Row],[Category ID]])</f>
        <v>27000</v>
      </c>
      <c r="G13" s="15">
        <f>tblVariance[[#This Row],[Budget]]-tblVariance[[#This Row],[Actual Cost]]</f>
        <v>144000</v>
      </c>
      <c r="H13" s="26">
        <f>IFERROR(tblVariance[[#This Row],[Actual Cost]]/tblVariance[[#This Row],[Budget]],0)</f>
        <v>0.15789473684210525</v>
      </c>
      <c r="I13" t="str">
        <f>IF(tblVariance[[#This Row],[Actual Cost]]&gt;tblVariance[[#This Row],[Budget]],"Over Budget",IF(tblVariance[[#This Row],[Budget Used %]]&gt;=0.8,"High Usage",IF(tblVariance[[#This Row],[Budget Used %]]&gt;=0.5,"Monitor","Within Budget")))</f>
        <v>Within Budget</v>
      </c>
    </row>
    <row r="14" spans="1:9">
      <c r="A14" s="8" t="s">
        <v>17</v>
      </c>
      <c r="B14" t="str">
        <f>_xll.XLOOKUP(tblVariance[[#This Row],[Project ID]],tblProjects[Project ID],tblProjects[Project Name],"Project not found")</f>
        <v>Water Main Bravo</v>
      </c>
      <c r="C14" s="8" t="s">
        <v>67</v>
      </c>
      <c r="D14" s="18" t="str">
        <f>_xll.XLOOKUP(tblVariance[[#This Row],[Category ID]],tblCostCategories[Category ID],tblCostCategories[Cost Category],"Category Not Found")</f>
        <v>Site Overheads</v>
      </c>
      <c r="E14" s="15">
        <f>SUMIFS(tblBudget[Budget Amount],tblBudget[Project ID],tblVariance[[#This Row],[Project ID]],tblBudget[Category ID], tblVariance[[#This Row],[Category ID]])</f>
        <v>205000</v>
      </c>
      <c r="F14" s="15">
        <f>SUMIFS(tblActualCosts[Amount],tblActualCosts[Project ID],tblVariance[[#This Row],[Project ID]],tblActualCosts[Category ID],tblVariance[[#This Row],[Category ID]])</f>
        <v>0</v>
      </c>
      <c r="G14" s="15">
        <f>tblVariance[[#This Row],[Budget]]-tblVariance[[#This Row],[Actual Cost]]</f>
        <v>205000</v>
      </c>
      <c r="H14" s="26">
        <f>IFERROR(tblVariance[[#This Row],[Actual Cost]]/tblVariance[[#This Row],[Budget]],0)</f>
        <v>0</v>
      </c>
      <c r="I14" t="str">
        <f>IF(tblVariance[[#This Row],[Actual Cost]]&gt;tblVariance[[#This Row],[Budget]],"Over Budget",IF(tblVariance[[#This Row],[Budget Used %]]&gt;=0.8,"High Usage",IF(tblVariance[[#This Row],[Budget Used %]]&gt;=0.5,"Monitor","Within Budget")))</f>
        <v>Within Budget</v>
      </c>
    </row>
    <row r="15" spans="1:9">
      <c r="A15" s="8" t="s">
        <v>17</v>
      </c>
      <c r="B15" t="str">
        <f>_xll.XLOOKUP(tblVariance[[#This Row],[Project ID]],tblProjects[Project ID],tblProjects[Project Name],"Project not found")</f>
        <v>Water Main Bravo</v>
      </c>
      <c r="C15" s="8" t="s">
        <v>69</v>
      </c>
      <c r="D15" s="18" t="str">
        <f>_xll.XLOOKUP(tblVariance[[#This Row],[Category ID]],tblCostCategories[Category ID],tblCostCategories[Cost Category],"Category Not Found")</f>
        <v>Contingency</v>
      </c>
      <c r="E15" s="15">
        <f>SUMIFS(tblBudget[Budget Amount],tblBudget[Project ID],tblVariance[[#This Row],[Project ID]],tblBudget[Category ID], tblVariance[[#This Row],[Category ID]])</f>
        <v>103000</v>
      </c>
      <c r="F15" s="15">
        <f>SUMIFS(tblActualCosts[Amount],tblActualCosts[Project ID],tblVariance[[#This Row],[Project ID]],tblActualCosts[Category ID],tblVariance[[#This Row],[Category ID]])</f>
        <v>0</v>
      </c>
      <c r="G15" s="15">
        <f>tblVariance[[#This Row],[Budget]]-tblVariance[[#This Row],[Actual Cost]]</f>
        <v>103000</v>
      </c>
      <c r="H15" s="26">
        <f>IFERROR(tblVariance[[#This Row],[Actual Cost]]/tblVariance[[#This Row],[Budget]],0)</f>
        <v>0</v>
      </c>
      <c r="I15" t="str">
        <f>IF(tblVariance[[#This Row],[Actual Cost]]&gt;tblVariance[[#This Row],[Budget]],"Over Budget",IF(tblVariance[[#This Row],[Budget Used %]]&gt;=0.8,"High Usage",IF(tblVariance[[#This Row],[Budget Used %]]&gt;=0.5,"Monitor","Within Budget")))</f>
        <v>Within Budget</v>
      </c>
    </row>
    <row r="16" spans="1:9">
      <c r="A16" s="8" t="s">
        <v>23</v>
      </c>
      <c r="B16" t="str">
        <f>_xll.XLOOKUP(tblVariance[[#This Row],[Project ID]],tblProjects[Project ID],tblProjects[Project Name],"Project not found")</f>
        <v>Highway Charlie</v>
      </c>
      <c r="C16" s="8" t="s">
        <v>57</v>
      </c>
      <c r="D16" s="18" t="str">
        <f>_xll.XLOOKUP(tblVariance[[#This Row],[Category ID]],tblCostCategories[Category ID],tblCostCategories[Cost Category],"Category Not Found")</f>
        <v>Labour</v>
      </c>
      <c r="E16" s="15">
        <f>SUMIFS(tblBudget[Budget Amount],tblBudget[Project ID],tblVariance[[#This Row],[Project ID]],tblBudget[Category ID], tblVariance[[#This Row],[Category ID]])</f>
        <v>1318000</v>
      </c>
      <c r="F16" s="15">
        <f>SUMIFS(tblActualCosts[Amount],tblActualCosts[Project ID],tblVariance[[#This Row],[Project ID]],tblActualCosts[Category ID],tblVariance[[#This Row],[Category ID]])</f>
        <v>123000</v>
      </c>
      <c r="G16" s="15">
        <f>tblVariance[[#This Row],[Budget]]-tblVariance[[#This Row],[Actual Cost]]</f>
        <v>1195000</v>
      </c>
      <c r="H16" s="26">
        <f>IFERROR(tblVariance[[#This Row],[Actual Cost]]/tblVariance[[#This Row],[Budget]],0)</f>
        <v>9.3323216995447641E-2</v>
      </c>
      <c r="I16" t="str">
        <f>IF(tblVariance[[#This Row],[Actual Cost]]&gt;tblVariance[[#This Row],[Budget]],"Over Budget",IF(tblVariance[[#This Row],[Budget Used %]]&gt;=0.8,"High Usage",IF(tblVariance[[#This Row],[Budget Used %]]&gt;=0.5,"Monitor","Within Budget")))</f>
        <v>Within Budget</v>
      </c>
    </row>
    <row r="17" spans="1:9">
      <c r="A17" s="8" t="s">
        <v>23</v>
      </c>
      <c r="B17" t="str">
        <f>_xll.XLOOKUP(tblVariance[[#This Row],[Project ID]],tblProjects[Project ID],tblProjects[Project Name],"Project not found")</f>
        <v>Highway Charlie</v>
      </c>
      <c r="C17" s="8" t="s">
        <v>59</v>
      </c>
      <c r="D17" s="18" t="str">
        <f>_xll.XLOOKUP(tblVariance[[#This Row],[Category ID]],tblCostCategories[Category ID],tblCostCategories[Cost Category],"Category Not Found")</f>
        <v>Materials</v>
      </c>
      <c r="E17" s="15">
        <f>SUMIFS(tblBudget[Budget Amount],tblBudget[Project ID],tblVariance[[#This Row],[Project ID]],tblBudget[Category ID], tblVariance[[#This Row],[Category ID]])</f>
        <v>1867000</v>
      </c>
      <c r="F17" s="15">
        <f>SUMIFS(tblActualCosts[Amount],tblActualCosts[Project ID],tblVariance[[#This Row],[Project ID]],tblActualCosts[Category ID],tblVariance[[#This Row],[Category ID]])</f>
        <v>459000</v>
      </c>
      <c r="G17" s="15">
        <f>tblVariance[[#This Row],[Budget]]-tblVariance[[#This Row],[Actual Cost]]</f>
        <v>1408000</v>
      </c>
      <c r="H17" s="26">
        <f>IFERROR(tblVariance[[#This Row],[Actual Cost]]/tblVariance[[#This Row],[Budget]],0)</f>
        <v>0.24584895554365291</v>
      </c>
      <c r="I17" t="str">
        <f>IF(tblVariance[[#This Row],[Actual Cost]]&gt;tblVariance[[#This Row],[Budget]],"Over Budget",IF(tblVariance[[#This Row],[Budget Used %]]&gt;=0.8,"High Usage",IF(tblVariance[[#This Row],[Budget Used %]]&gt;=0.5,"Monitor","Within Budget")))</f>
        <v>Within Budget</v>
      </c>
    </row>
    <row r="18" spans="1:9">
      <c r="A18" s="8" t="s">
        <v>23</v>
      </c>
      <c r="B18" t="str">
        <f>_xll.XLOOKUP(tblVariance[[#This Row],[Project ID]],tblProjects[Project ID],tblProjects[Project Name],"Project not found")</f>
        <v>Highway Charlie</v>
      </c>
      <c r="C18" s="8" t="s">
        <v>61</v>
      </c>
      <c r="D18" s="18" t="str">
        <f>_xll.XLOOKUP(tblVariance[[#This Row],[Category ID]],tblCostCategories[Category ID],tblCostCategories[Cost Category],"Category Not Found")</f>
        <v>Plant Hire</v>
      </c>
      <c r="E18" s="15">
        <f>SUMIFS(tblBudget[Budget Amount],tblBudget[Project ID],tblVariance[[#This Row],[Project ID]],tblBudget[Category ID], tblVariance[[#This Row],[Category ID]])</f>
        <v>769000</v>
      </c>
      <c r="F18" s="15">
        <f>SUMIFS(tblActualCosts[Amount],tblActualCosts[Project ID],tblVariance[[#This Row],[Project ID]],tblActualCosts[Category ID],tblVariance[[#This Row],[Category ID]])</f>
        <v>116000</v>
      </c>
      <c r="G18" s="15">
        <f>tblVariance[[#This Row],[Budget]]-tblVariance[[#This Row],[Actual Cost]]</f>
        <v>653000</v>
      </c>
      <c r="H18" s="26">
        <f>IFERROR(tblVariance[[#This Row],[Actual Cost]]/tblVariance[[#This Row],[Budget]],0)</f>
        <v>0.15084525357607281</v>
      </c>
      <c r="I18" t="str">
        <f>IF(tblVariance[[#This Row],[Actual Cost]]&gt;tblVariance[[#This Row],[Budget]],"Over Budget",IF(tblVariance[[#This Row],[Budget Used %]]&gt;=0.8,"High Usage",IF(tblVariance[[#This Row],[Budget Used %]]&gt;=0.5,"Monitor","Within Budget")))</f>
        <v>Within Budget</v>
      </c>
    </row>
    <row r="19" spans="1:9">
      <c r="A19" s="8" t="s">
        <v>23</v>
      </c>
      <c r="B19" t="str">
        <f>_xll.XLOOKUP(tblVariance[[#This Row],[Project ID]],tblProjects[Project ID],tblProjects[Project Name],"Project not found")</f>
        <v>Highway Charlie</v>
      </c>
      <c r="C19" s="8" t="s">
        <v>63</v>
      </c>
      <c r="D19" s="18" t="str">
        <f>_xll.XLOOKUP(tblVariance[[#This Row],[Category ID]],tblCostCategories[Category ID],tblCostCategories[Cost Category],"Category Not Found")</f>
        <v>Subcontractors</v>
      </c>
      <c r="E19" s="15">
        <f>SUMIFS(tblBudget[Budget Amount],tblBudget[Project ID],tblVariance[[#This Row],[Project ID]],tblBudget[Category ID], tblVariance[[#This Row],[Category ID]])</f>
        <v>878000</v>
      </c>
      <c r="F19" s="15">
        <f>SUMIFS(tblActualCosts[Amount],tblActualCosts[Project ID],tblVariance[[#This Row],[Project ID]],tblActualCosts[Category ID],tblVariance[[#This Row],[Category ID]])</f>
        <v>138000</v>
      </c>
      <c r="G19" s="15">
        <f>tblVariance[[#This Row],[Budget]]-tblVariance[[#This Row],[Actual Cost]]</f>
        <v>740000</v>
      </c>
      <c r="H19" s="26">
        <f>IFERROR(tblVariance[[#This Row],[Actual Cost]]/tblVariance[[#This Row],[Budget]],0)</f>
        <v>0.15717539863325741</v>
      </c>
      <c r="I19" t="str">
        <f>IF(tblVariance[[#This Row],[Actual Cost]]&gt;tblVariance[[#This Row],[Budget]],"Over Budget",IF(tblVariance[[#This Row],[Budget Used %]]&gt;=0.8,"High Usage",IF(tblVariance[[#This Row],[Budget Used %]]&gt;=0.5,"Monitor","Within Budget")))</f>
        <v>Within Budget</v>
      </c>
    </row>
    <row r="20" spans="1:9">
      <c r="A20" s="8" t="s">
        <v>23</v>
      </c>
      <c r="B20" t="str">
        <f>_xll.XLOOKUP(tblVariance[[#This Row],[Project ID]],tblProjects[Project ID],tblProjects[Project Name],"Project not found")</f>
        <v>Highway Charlie</v>
      </c>
      <c r="C20" s="8" t="s">
        <v>65</v>
      </c>
      <c r="D20" s="18" t="str">
        <f>_xll.XLOOKUP(tblVariance[[#This Row],[Category ID]],tblCostCategories[Category ID],tblCostCategories[Cost Category],"Category Not Found")</f>
        <v>Fuel &amp; Transport</v>
      </c>
      <c r="E20" s="15">
        <f>SUMIFS(tblBudget[Budget Amount],tblBudget[Project ID],tblVariance[[#This Row],[Project ID]],tblBudget[Category ID], tblVariance[[#This Row],[Category ID]])</f>
        <v>220000</v>
      </c>
      <c r="F20" s="15">
        <f>SUMIFS(tblActualCosts[Amount],tblActualCosts[Project ID],tblVariance[[#This Row],[Project ID]],tblActualCosts[Category ID],tblVariance[[#This Row],[Category ID]])</f>
        <v>41000</v>
      </c>
      <c r="G20" s="15">
        <f>tblVariance[[#This Row],[Budget]]-tblVariance[[#This Row],[Actual Cost]]</f>
        <v>179000</v>
      </c>
      <c r="H20" s="26">
        <f>IFERROR(tblVariance[[#This Row],[Actual Cost]]/tblVariance[[#This Row],[Budget]],0)</f>
        <v>0.18636363636363637</v>
      </c>
      <c r="I20" t="str">
        <f>IF(tblVariance[[#This Row],[Actual Cost]]&gt;tblVariance[[#This Row],[Budget]],"Over Budget",IF(tblVariance[[#This Row],[Budget Used %]]&gt;=0.8,"High Usage",IF(tblVariance[[#This Row],[Budget Used %]]&gt;=0.5,"Monitor","Within Budget")))</f>
        <v>Within Budget</v>
      </c>
    </row>
    <row r="21" spans="1:9">
      <c r="A21" s="8" t="s">
        <v>23</v>
      </c>
      <c r="B21" t="str">
        <f>_xll.XLOOKUP(tblVariance[[#This Row],[Project ID]],tblProjects[Project ID],tblProjects[Project Name],"Project not found")</f>
        <v>Highway Charlie</v>
      </c>
      <c r="C21" s="8" t="s">
        <v>67</v>
      </c>
      <c r="D21" s="18" t="str">
        <f>_xll.XLOOKUP(tblVariance[[#This Row],[Category ID]],tblCostCategories[Category ID],tblCostCategories[Cost Category],"Category Not Found")</f>
        <v>Site Overheads</v>
      </c>
      <c r="E21" s="15">
        <f>SUMIFS(tblBudget[Budget Amount],tblBudget[Project ID],tblVariance[[#This Row],[Project ID]],tblBudget[Category ID], tblVariance[[#This Row],[Category ID]])</f>
        <v>274000</v>
      </c>
      <c r="F21" s="15">
        <f>SUMIFS(tblActualCosts[Amount],tblActualCosts[Project ID],tblVariance[[#This Row],[Project ID]],tblActualCosts[Category ID],tblVariance[[#This Row],[Category ID]])</f>
        <v>0</v>
      </c>
      <c r="G21" s="15">
        <f>tblVariance[[#This Row],[Budget]]-tblVariance[[#This Row],[Actual Cost]]</f>
        <v>274000</v>
      </c>
      <c r="H21" s="26">
        <f>IFERROR(tblVariance[[#This Row],[Actual Cost]]/tblVariance[[#This Row],[Budget]],0)</f>
        <v>0</v>
      </c>
      <c r="I21" t="str">
        <f>IF(tblVariance[[#This Row],[Actual Cost]]&gt;tblVariance[[#This Row],[Budget]],"Over Budget",IF(tblVariance[[#This Row],[Budget Used %]]&gt;=0.8,"High Usage",IF(tblVariance[[#This Row],[Budget Used %]]&gt;=0.5,"Monitor","Within Budget")))</f>
        <v>Within Budget</v>
      </c>
    </row>
    <row r="22" spans="1:9">
      <c r="A22" s="8" t="s">
        <v>23</v>
      </c>
      <c r="B22" t="str">
        <f>_xll.XLOOKUP(tblVariance[[#This Row],[Project ID]],tblProjects[Project ID],tblProjects[Project Name],"Project not found")</f>
        <v>Highway Charlie</v>
      </c>
      <c r="C22" s="8" t="s">
        <v>69</v>
      </c>
      <c r="D22" s="18" t="str">
        <f>_xll.XLOOKUP(tblVariance[[#This Row],[Category ID]],tblCostCategories[Category ID],tblCostCategories[Cost Category],"Category Not Found")</f>
        <v>Contingency</v>
      </c>
      <c r="E22" s="15">
        <f>SUMIFS(tblBudget[Budget Amount],tblBudget[Project ID],tblVariance[[#This Row],[Project ID]],tblBudget[Category ID], tblVariance[[#This Row],[Category ID]])</f>
        <v>164000</v>
      </c>
      <c r="F22" s="15">
        <f>SUMIFS(tblActualCosts[Amount],tblActualCosts[Project ID],tblVariance[[#This Row],[Project ID]],tblActualCosts[Category ID],tblVariance[[#This Row],[Category ID]])</f>
        <v>0</v>
      </c>
      <c r="G22" s="15">
        <f>tblVariance[[#This Row],[Budget]]-tblVariance[[#This Row],[Actual Cost]]</f>
        <v>164000</v>
      </c>
      <c r="H22" s="26">
        <f>IFERROR(tblVariance[[#This Row],[Actual Cost]]/tblVariance[[#This Row],[Budget]],0)</f>
        <v>0</v>
      </c>
      <c r="I22" t="str">
        <f>IF(tblVariance[[#This Row],[Actual Cost]]&gt;tblVariance[[#This Row],[Budget]],"Over Budget",IF(tblVariance[[#This Row],[Budget Used %]]&gt;=0.8,"High Usage",IF(tblVariance[[#This Row],[Budget Used %]]&gt;=0.5,"Monitor","Within Budget")))</f>
        <v>Within Budget</v>
      </c>
    </row>
    <row r="23" spans="1:9">
      <c r="A23" s="8" t="s">
        <v>29</v>
      </c>
      <c r="B23" t="str">
        <f>_xll.XLOOKUP(tblVariance[[#This Row],[Project ID]],tblProjects[Project ID],tblProjects[Project Name],"Project not found")</f>
        <v>Rail Extension Delta</v>
      </c>
      <c r="C23" s="8" t="s">
        <v>57</v>
      </c>
      <c r="D23" s="18" t="str">
        <f>_xll.XLOOKUP(tblVariance[[#This Row],[Category ID]],tblCostCategories[Category ID],tblCostCategories[Cost Category],"Category Not Found")</f>
        <v>Labour</v>
      </c>
      <c r="E23" s="15">
        <f>SUMIFS(tblBudget[Budget Amount],tblBudget[Project ID],tblVariance[[#This Row],[Project ID]],tblBudget[Category ID], tblVariance[[#This Row],[Category ID]])</f>
        <v>1100000</v>
      </c>
      <c r="F23" s="15">
        <f>SUMIFS(tblActualCosts[Amount],tblActualCosts[Project ID],tblVariance[[#This Row],[Project ID]],tblActualCosts[Category ID],tblVariance[[#This Row],[Category ID]])</f>
        <v>94000</v>
      </c>
      <c r="G23" s="15">
        <f>tblVariance[[#This Row],[Budget]]-tblVariance[[#This Row],[Actual Cost]]</f>
        <v>1006000</v>
      </c>
      <c r="H23" s="26">
        <f>IFERROR(tblVariance[[#This Row],[Actual Cost]]/tblVariance[[#This Row],[Budget]],0)</f>
        <v>8.545454545454545E-2</v>
      </c>
      <c r="I23" t="str">
        <f>IF(tblVariance[[#This Row],[Actual Cost]]&gt;tblVariance[[#This Row],[Budget]],"Over Budget",IF(tblVariance[[#This Row],[Budget Used %]]&gt;=0.8,"High Usage",IF(tblVariance[[#This Row],[Budget Used %]]&gt;=0.5,"Monitor","Within Budget")))</f>
        <v>Within Budget</v>
      </c>
    </row>
    <row r="24" spans="1:9">
      <c r="A24" s="8" t="s">
        <v>29</v>
      </c>
      <c r="B24" t="str">
        <f>_xll.XLOOKUP(tblVariance[[#This Row],[Project ID]],tblProjects[Project ID],tblProjects[Project Name],"Project not found")</f>
        <v>Rail Extension Delta</v>
      </c>
      <c r="C24" s="8" t="s">
        <v>59</v>
      </c>
      <c r="D24" s="18" t="str">
        <f>_xll.XLOOKUP(tblVariance[[#This Row],[Category ID]],tblCostCategories[Category ID],tblCostCategories[Cost Category],"Category Not Found")</f>
        <v>Materials</v>
      </c>
      <c r="E24" s="15">
        <f>SUMIFS(tblBudget[Budget Amount],tblBudget[Project ID],tblVariance[[#This Row],[Project ID]],tblBudget[Category ID], tblVariance[[#This Row],[Category ID]])</f>
        <v>1311000</v>
      </c>
      <c r="F24" s="15">
        <f>SUMIFS(tblActualCosts[Amount],tblActualCosts[Project ID],tblVariance[[#This Row],[Project ID]],tblActualCosts[Category ID],tblVariance[[#This Row],[Category ID]])</f>
        <v>172000</v>
      </c>
      <c r="G24" s="15">
        <f>tblVariance[[#This Row],[Budget]]-tblVariance[[#This Row],[Actual Cost]]</f>
        <v>1139000</v>
      </c>
      <c r="H24" s="26">
        <f>IFERROR(tblVariance[[#This Row],[Actual Cost]]/tblVariance[[#This Row],[Budget]],0)</f>
        <v>0.13119755911517925</v>
      </c>
      <c r="I24" t="str">
        <f>IF(tblVariance[[#This Row],[Actual Cost]]&gt;tblVariance[[#This Row],[Budget]],"Over Budget",IF(tblVariance[[#This Row],[Budget Used %]]&gt;=0.8,"High Usage",IF(tblVariance[[#This Row],[Budget Used %]]&gt;=0.5,"Monitor","Within Budget")))</f>
        <v>Within Budget</v>
      </c>
    </row>
    <row r="25" spans="1:9">
      <c r="A25" s="8" t="s">
        <v>29</v>
      </c>
      <c r="B25" t="str">
        <f>_xll.XLOOKUP(tblVariance[[#This Row],[Project ID]],tblProjects[Project ID],tblProjects[Project Name],"Project not found")</f>
        <v>Rail Extension Delta</v>
      </c>
      <c r="C25" s="8" t="s">
        <v>61</v>
      </c>
      <c r="D25" s="18" t="str">
        <f>_xll.XLOOKUP(tblVariance[[#This Row],[Category ID]],tblCostCategories[Category ID],tblCostCategories[Cost Category],"Category Not Found")</f>
        <v>Plant Hire</v>
      </c>
      <c r="E25" s="15">
        <f>SUMIFS(tblBudget[Budget Amount],tblBudget[Project ID],tblVariance[[#This Row],[Project ID]],tblBudget[Category ID], tblVariance[[#This Row],[Category ID]])</f>
        <v>592000</v>
      </c>
      <c r="F25" s="15">
        <f>SUMIFS(tblActualCosts[Amount],tblActualCosts[Project ID],tblVariance[[#This Row],[Project ID]],tblActualCosts[Category ID],tblVariance[[#This Row],[Category ID]])</f>
        <v>88000</v>
      </c>
      <c r="G25" s="15">
        <f>tblVariance[[#This Row],[Budget]]-tblVariance[[#This Row],[Actual Cost]]</f>
        <v>504000</v>
      </c>
      <c r="H25" s="26">
        <f>IFERROR(tblVariance[[#This Row],[Actual Cost]]/tblVariance[[#This Row],[Budget]],0)</f>
        <v>0.14864864864864866</v>
      </c>
      <c r="I25" t="str">
        <f>IF(tblVariance[[#This Row],[Actual Cost]]&gt;tblVariance[[#This Row],[Budget]],"Over Budget",IF(tblVariance[[#This Row],[Budget Used %]]&gt;=0.8,"High Usage",IF(tblVariance[[#This Row],[Budget Used %]]&gt;=0.5,"Monitor","Within Budget")))</f>
        <v>Within Budget</v>
      </c>
    </row>
    <row r="26" spans="1:9">
      <c r="A26" s="8" t="s">
        <v>29</v>
      </c>
      <c r="B26" t="str">
        <f>_xll.XLOOKUP(tblVariance[[#This Row],[Project ID]],tblProjects[Project ID],tblProjects[Project Name],"Project not found")</f>
        <v>Rail Extension Delta</v>
      </c>
      <c r="C26" s="8" t="s">
        <v>63</v>
      </c>
      <c r="D26" s="18" t="str">
        <f>_xll.XLOOKUP(tblVariance[[#This Row],[Category ID]],tblCostCategories[Category ID],tblCostCategories[Cost Category],"Category Not Found")</f>
        <v>Subcontractors</v>
      </c>
      <c r="E26" s="15">
        <f>SUMIFS(tblBudget[Budget Amount],tblBudget[Project ID],tblVariance[[#This Row],[Project ID]],tblBudget[Category ID], tblVariance[[#This Row],[Category ID]])</f>
        <v>719000</v>
      </c>
      <c r="F26" s="15">
        <f>SUMIFS(tblActualCosts[Amount],tblActualCosts[Project ID],tblVariance[[#This Row],[Project ID]],tblActualCosts[Category ID],tblVariance[[#This Row],[Category ID]])</f>
        <v>105000</v>
      </c>
      <c r="G26" s="15">
        <f>tblVariance[[#This Row],[Budget]]-tblVariance[[#This Row],[Actual Cost]]</f>
        <v>614000</v>
      </c>
      <c r="H26" s="26">
        <f>IFERROR(tblVariance[[#This Row],[Actual Cost]]/tblVariance[[#This Row],[Budget]],0)</f>
        <v>0.14603616133518776</v>
      </c>
      <c r="I26" t="str">
        <f>IF(tblVariance[[#This Row],[Actual Cost]]&gt;tblVariance[[#This Row],[Budget]],"Over Budget",IF(tblVariance[[#This Row],[Budget Used %]]&gt;=0.8,"High Usage",IF(tblVariance[[#This Row],[Budget Used %]]&gt;=0.5,"Monitor","Within Budget")))</f>
        <v>Within Budget</v>
      </c>
    </row>
    <row r="27" spans="1:9">
      <c r="A27" s="8" t="s">
        <v>29</v>
      </c>
      <c r="B27" t="str">
        <f>_xll.XLOOKUP(tblVariance[[#This Row],[Project ID]],tblProjects[Project ID],tblProjects[Project Name],"Project not found")</f>
        <v>Rail Extension Delta</v>
      </c>
      <c r="C27" s="8" t="s">
        <v>65</v>
      </c>
      <c r="D27" s="18" t="str">
        <f>_xll.XLOOKUP(tblVariance[[#This Row],[Category ID]],tblCostCategories[Category ID],tblCostCategories[Cost Category],"Category Not Found")</f>
        <v>Fuel &amp; Transport</v>
      </c>
      <c r="E27" s="15">
        <f>SUMIFS(tblBudget[Budget Amount],tblBudget[Project ID],tblVariance[[#This Row],[Project ID]],tblBudget[Category ID], tblVariance[[#This Row],[Category ID]])</f>
        <v>169000</v>
      </c>
      <c r="F27" s="15">
        <f>SUMIFS(tblActualCosts[Amount],tblActualCosts[Project ID],tblVariance[[#This Row],[Project ID]],tblActualCosts[Category ID],tblVariance[[#This Row],[Category ID]])</f>
        <v>0</v>
      </c>
      <c r="G27" s="15">
        <f>tblVariance[[#This Row],[Budget]]-tblVariance[[#This Row],[Actual Cost]]</f>
        <v>169000</v>
      </c>
      <c r="H27" s="26">
        <f>IFERROR(tblVariance[[#This Row],[Actual Cost]]/tblVariance[[#This Row],[Budget]],0)</f>
        <v>0</v>
      </c>
      <c r="I27" t="str">
        <f>IF(tblVariance[[#This Row],[Actual Cost]]&gt;tblVariance[[#This Row],[Budget]],"Over Budget",IF(tblVariance[[#This Row],[Budget Used %]]&gt;=0.8,"High Usage",IF(tblVariance[[#This Row],[Budget Used %]]&gt;=0.5,"Monitor","Within Budget")))</f>
        <v>Within Budget</v>
      </c>
    </row>
    <row r="28" spans="1:9">
      <c r="A28" s="8" t="s">
        <v>29</v>
      </c>
      <c r="B28" t="str">
        <f>_xll.XLOOKUP(tblVariance[[#This Row],[Project ID]],tblProjects[Project ID],tblProjects[Project Name],"Project not found")</f>
        <v>Rail Extension Delta</v>
      </c>
      <c r="C28" s="8" t="s">
        <v>67</v>
      </c>
      <c r="D28" s="18" t="str">
        <f>_xll.XLOOKUP(tblVariance[[#This Row],[Category ID]],tblCostCategories[Category ID],tblCostCategories[Cost Category],"Category Not Found")</f>
        <v>Site Overheads</v>
      </c>
      <c r="E28" s="15">
        <f>SUMIFS(tblBudget[Budget Amount],tblBudget[Project ID],tblVariance[[#This Row],[Project ID]],tblBudget[Category ID], tblVariance[[#This Row],[Category ID]])</f>
        <v>212000</v>
      </c>
      <c r="F28" s="15">
        <f>SUMIFS(tblActualCosts[Amount],tblActualCosts[Project ID],tblVariance[[#This Row],[Project ID]],tblActualCosts[Category ID],tblVariance[[#This Row],[Category ID]])</f>
        <v>0</v>
      </c>
      <c r="G28" s="15">
        <f>tblVariance[[#This Row],[Budget]]-tblVariance[[#This Row],[Actual Cost]]</f>
        <v>212000</v>
      </c>
      <c r="H28" s="26">
        <f>IFERROR(tblVariance[[#This Row],[Actual Cost]]/tblVariance[[#This Row],[Budget]],0)</f>
        <v>0</v>
      </c>
      <c r="I28" t="str">
        <f>IF(tblVariance[[#This Row],[Actual Cost]]&gt;tblVariance[[#This Row],[Budget]],"Over Budget",IF(tblVariance[[#This Row],[Budget Used %]]&gt;=0.8,"High Usage",IF(tblVariance[[#This Row],[Budget Used %]]&gt;=0.5,"Monitor","Within Budget")))</f>
        <v>Within Budget</v>
      </c>
    </row>
    <row r="29" spans="1:9">
      <c r="A29" s="8" t="s">
        <v>29</v>
      </c>
      <c r="B29" t="str">
        <f>_xll.XLOOKUP(tblVariance[[#This Row],[Project ID]],tblProjects[Project ID],tblProjects[Project Name],"Project not found")</f>
        <v>Rail Extension Delta</v>
      </c>
      <c r="C29" s="8" t="s">
        <v>69</v>
      </c>
      <c r="D29" s="18" t="str">
        <f>_xll.XLOOKUP(tblVariance[[#This Row],[Category ID]],tblCostCategories[Category ID],tblCostCategories[Cost Category],"Category Not Found")</f>
        <v>Contingency</v>
      </c>
      <c r="E29" s="15">
        <f>SUMIFS(tblBudget[Budget Amount],tblBudget[Project ID],tblVariance[[#This Row],[Project ID]],tblBudget[Category ID], tblVariance[[#This Row],[Category ID]])</f>
        <v>127000</v>
      </c>
      <c r="F29" s="15">
        <f>SUMIFS(tblActualCosts[Amount],tblActualCosts[Project ID],tblVariance[[#This Row],[Project ID]],tblActualCosts[Category ID],tblVariance[[#This Row],[Category ID]])</f>
        <v>0</v>
      </c>
      <c r="G29" s="15">
        <f>tblVariance[[#This Row],[Budget]]-tblVariance[[#This Row],[Actual Cost]]</f>
        <v>127000</v>
      </c>
      <c r="H29" s="26">
        <f>IFERROR(tblVariance[[#This Row],[Actual Cost]]/tblVariance[[#This Row],[Budget]],0)</f>
        <v>0</v>
      </c>
      <c r="I29" t="str">
        <f>IF(tblVariance[[#This Row],[Actual Cost]]&gt;tblVariance[[#This Row],[Budget]],"Over Budget",IF(tblVariance[[#This Row],[Budget Used %]]&gt;=0.8,"High Usage",IF(tblVariance[[#This Row],[Budget Used %]]&gt;=0.5,"Monitor","Within Budget")))</f>
        <v>Within Budget</v>
      </c>
    </row>
    <row r="30" spans="1:9">
      <c r="A30" s="8" t="s">
        <v>32</v>
      </c>
      <c r="B30" t="str">
        <f>_xll.XLOOKUP(tblVariance[[#This Row],[Project ID]],tblProjects[Project ID],tblProjects[Project Name],"Project not found")</f>
        <v>Flood Defence Echo</v>
      </c>
      <c r="C30" s="8" t="s">
        <v>57</v>
      </c>
      <c r="D30" s="18" t="str">
        <f>_xll.XLOOKUP(tblVariance[[#This Row],[Category ID]],tblCostCategories[Category ID],tblCostCategories[Cost Category],"Category Not Found")</f>
        <v>Labour</v>
      </c>
      <c r="E30" s="15">
        <f>SUMIFS(tblBudget[Budget Amount],tblBudget[Project ID],tblVariance[[#This Row],[Project ID]],tblBudget[Category ID], tblVariance[[#This Row],[Category ID]])</f>
        <v>611000</v>
      </c>
      <c r="F30" s="15">
        <f>SUMIFS(tblActualCosts[Amount],tblActualCosts[Project ID],tblVariance[[#This Row],[Project ID]],tblActualCosts[Category ID],tblVariance[[#This Row],[Category ID]])</f>
        <v>62000</v>
      </c>
      <c r="G30" s="15">
        <f>tblVariance[[#This Row],[Budget]]-tblVariance[[#This Row],[Actual Cost]]</f>
        <v>549000</v>
      </c>
      <c r="H30" s="26">
        <f>IFERROR(tblVariance[[#This Row],[Actual Cost]]/tblVariance[[#This Row],[Budget]],0)</f>
        <v>0.10147299509001637</v>
      </c>
      <c r="I30" t="str">
        <f>IF(tblVariance[[#This Row],[Actual Cost]]&gt;tblVariance[[#This Row],[Budget]],"Over Budget",IF(tblVariance[[#This Row],[Budget Used %]]&gt;=0.8,"High Usage",IF(tblVariance[[#This Row],[Budget Used %]]&gt;=0.5,"Monitor","Within Budget")))</f>
        <v>Within Budget</v>
      </c>
    </row>
    <row r="31" spans="1:9">
      <c r="A31" s="8" t="s">
        <v>32</v>
      </c>
      <c r="B31" t="str">
        <f>_xll.XLOOKUP(tblVariance[[#This Row],[Project ID]],tblProjects[Project ID],tblProjects[Project Name],"Project not found")</f>
        <v>Flood Defence Echo</v>
      </c>
      <c r="C31" s="8" t="s">
        <v>59</v>
      </c>
      <c r="D31" s="18" t="str">
        <f>_xll.XLOOKUP(tblVariance[[#This Row],[Category ID]],tblCostCategories[Category ID],tblCostCategories[Cost Category],"Category Not Found")</f>
        <v>Materials</v>
      </c>
      <c r="E31" s="15">
        <f>SUMIFS(tblBudget[Budget Amount],tblBudget[Project ID],tblVariance[[#This Row],[Project ID]],tblBudget[Category ID], tblVariance[[#This Row],[Category ID]])</f>
        <v>770000</v>
      </c>
      <c r="F31" s="15">
        <f>SUMIFS(tblActualCosts[Amount],tblActualCosts[Project ID],tblVariance[[#This Row],[Project ID]],tblActualCosts[Category ID],tblVariance[[#This Row],[Category ID]])</f>
        <v>121000</v>
      </c>
      <c r="G31" s="15">
        <f>tblVariance[[#This Row],[Budget]]-tblVariance[[#This Row],[Actual Cost]]</f>
        <v>649000</v>
      </c>
      <c r="H31" s="26">
        <f>IFERROR(tblVariance[[#This Row],[Actual Cost]]/tblVariance[[#This Row],[Budget]],0)</f>
        <v>0.15714285714285714</v>
      </c>
      <c r="I31" t="str">
        <f>IF(tblVariance[[#This Row],[Actual Cost]]&gt;tblVariance[[#This Row],[Budget]],"Over Budget",IF(tblVariance[[#This Row],[Budget Used %]]&gt;=0.8,"High Usage",IF(tblVariance[[#This Row],[Budget Used %]]&gt;=0.5,"Monitor","Within Budget")))</f>
        <v>Within Budget</v>
      </c>
    </row>
    <row r="32" spans="1:9">
      <c r="A32" s="8" t="s">
        <v>32</v>
      </c>
      <c r="B32" t="str">
        <f>_xll.XLOOKUP(tblVariance[[#This Row],[Project ID]],tblProjects[Project ID],tblProjects[Project Name],"Project not found")</f>
        <v>Flood Defence Echo</v>
      </c>
      <c r="C32" s="8" t="s">
        <v>61</v>
      </c>
      <c r="D32" s="18" t="str">
        <f>_xll.XLOOKUP(tblVariance[[#This Row],[Category ID]],tblCostCategories[Category ID],tblCostCategories[Cost Category],"Category Not Found")</f>
        <v>Plant Hire</v>
      </c>
      <c r="E32" s="15">
        <f>SUMIFS(tblBudget[Budget Amount],tblBudget[Project ID],tblVariance[[#This Row],[Project ID]],tblBudget[Category ID], tblVariance[[#This Row],[Category ID]])</f>
        <v>425000</v>
      </c>
      <c r="F32" s="15">
        <f>SUMIFS(tblActualCosts[Amount],tblActualCosts[Project ID],tblVariance[[#This Row],[Project ID]],tblActualCosts[Category ID],tblVariance[[#This Row],[Category ID]])</f>
        <v>74000</v>
      </c>
      <c r="G32" s="15">
        <f>tblVariance[[#This Row],[Budget]]-tblVariance[[#This Row],[Actual Cost]]</f>
        <v>351000</v>
      </c>
      <c r="H32" s="26">
        <f>IFERROR(tblVariance[[#This Row],[Actual Cost]]/tblVariance[[#This Row],[Budget]],0)</f>
        <v>0.17411764705882352</v>
      </c>
      <c r="I32" t="str">
        <f>IF(tblVariance[[#This Row],[Actual Cost]]&gt;tblVariance[[#This Row],[Budget]],"Over Budget",IF(tblVariance[[#This Row],[Budget Used %]]&gt;=0.8,"High Usage",IF(tblVariance[[#This Row],[Budget Used %]]&gt;=0.5,"Monitor","Within Budget")))</f>
        <v>Within Budget</v>
      </c>
    </row>
    <row r="33" spans="1:9">
      <c r="A33" s="8" t="s">
        <v>32</v>
      </c>
      <c r="B33" t="str">
        <f>_xll.XLOOKUP(tblVariance[[#This Row],[Project ID]],tblProjects[Project ID],tblProjects[Project Name],"Project not found")</f>
        <v>Flood Defence Echo</v>
      </c>
      <c r="C33" s="8" t="s">
        <v>63</v>
      </c>
      <c r="D33" s="18" t="str">
        <f>_xll.XLOOKUP(tblVariance[[#This Row],[Category ID]],tblCostCategories[Category ID],tblCostCategories[Cost Category],"Category Not Found")</f>
        <v>Subcontractors</v>
      </c>
      <c r="E33" s="15">
        <f>SUMIFS(tblBudget[Budget Amount],tblBudget[Project ID],tblVariance[[#This Row],[Project ID]],tblBudget[Category ID], tblVariance[[#This Row],[Category ID]])</f>
        <v>478000</v>
      </c>
      <c r="F33" s="15">
        <f>SUMIFS(tblActualCosts[Amount],tblActualCosts[Project ID],tblVariance[[#This Row],[Project ID]],tblActualCosts[Category ID],tblVariance[[#This Row],[Category ID]])</f>
        <v>83000</v>
      </c>
      <c r="G33" s="15">
        <f>tblVariance[[#This Row],[Budget]]-tblVariance[[#This Row],[Actual Cost]]</f>
        <v>395000</v>
      </c>
      <c r="H33" s="26">
        <f>IFERROR(tblVariance[[#This Row],[Actual Cost]]/tblVariance[[#This Row],[Budget]],0)</f>
        <v>0.17364016736401675</v>
      </c>
      <c r="I33" t="str">
        <f>IF(tblVariance[[#This Row],[Actual Cost]]&gt;tblVariance[[#This Row],[Budget]],"Over Budget",IF(tblVariance[[#This Row],[Budget Used %]]&gt;=0.8,"High Usage",IF(tblVariance[[#This Row],[Budget Used %]]&gt;=0.5,"Monitor","Within Budget")))</f>
        <v>Within Budget</v>
      </c>
    </row>
    <row r="34" spans="1:9">
      <c r="A34" s="8" t="s">
        <v>32</v>
      </c>
      <c r="B34" t="str">
        <f>_xll.XLOOKUP(tblVariance[[#This Row],[Project ID]],tblProjects[Project ID],tblProjects[Project Name],"Project not found")</f>
        <v>Flood Defence Echo</v>
      </c>
      <c r="C34" s="8" t="s">
        <v>65</v>
      </c>
      <c r="D34" s="18" t="str">
        <f>_xll.XLOOKUP(tblVariance[[#This Row],[Category ID]],tblCostCategories[Category ID],tblCostCategories[Cost Category],"Category Not Found")</f>
        <v>Fuel &amp; Transport</v>
      </c>
      <c r="E34" s="15">
        <f>SUMIFS(tblBudget[Budget Amount],tblBudget[Project ID],tblVariance[[#This Row],[Project ID]],tblBudget[Category ID], tblVariance[[#This Row],[Category ID]])</f>
        <v>133000</v>
      </c>
      <c r="F34" s="15">
        <f>SUMIFS(tblActualCosts[Amount],tblActualCosts[Project ID],tblVariance[[#This Row],[Project ID]],tblActualCosts[Category ID],tblVariance[[#This Row],[Category ID]])</f>
        <v>0</v>
      </c>
      <c r="G34" s="15">
        <f>tblVariance[[#This Row],[Budget]]-tblVariance[[#This Row],[Actual Cost]]</f>
        <v>133000</v>
      </c>
      <c r="H34" s="26">
        <f>IFERROR(tblVariance[[#This Row],[Actual Cost]]/tblVariance[[#This Row],[Budget]],0)</f>
        <v>0</v>
      </c>
      <c r="I34" t="str">
        <f>IF(tblVariance[[#This Row],[Actual Cost]]&gt;tblVariance[[#This Row],[Budget]],"Over Budget",IF(tblVariance[[#This Row],[Budget Used %]]&gt;=0.8,"High Usage",IF(tblVariance[[#This Row],[Budget Used %]]&gt;=0.5,"Monitor","Within Budget")))</f>
        <v>Within Budget</v>
      </c>
    </row>
    <row r="35" spans="1:9">
      <c r="A35" s="8" t="s">
        <v>32</v>
      </c>
      <c r="B35" t="str">
        <f>_xll.XLOOKUP(tblVariance[[#This Row],[Project ID]],tblProjects[Project ID],tblProjects[Project Name],"Project not found")</f>
        <v>Flood Defence Echo</v>
      </c>
      <c r="C35" s="8" t="s">
        <v>67</v>
      </c>
      <c r="D35" s="18" t="str">
        <f>_xll.XLOOKUP(tblVariance[[#This Row],[Category ID]],tblCostCategories[Category ID],tblCostCategories[Cost Category],"Category Not Found")</f>
        <v>Site Overheads</v>
      </c>
      <c r="E35" s="15">
        <f>SUMIFS(tblBudget[Budget Amount],tblBudget[Project ID],tblVariance[[#This Row],[Project ID]],tblBudget[Category ID], tblVariance[[#This Row],[Category ID]])</f>
        <v>159000</v>
      </c>
      <c r="F35" s="15">
        <f>SUMIFS(tblActualCosts[Amount],tblActualCosts[Project ID],tblVariance[[#This Row],[Project ID]],tblActualCosts[Category ID],tblVariance[[#This Row],[Category ID]])</f>
        <v>0</v>
      </c>
      <c r="G35" s="15">
        <f>tblVariance[[#This Row],[Budget]]-tblVariance[[#This Row],[Actual Cost]]</f>
        <v>159000</v>
      </c>
      <c r="H35" s="26">
        <f>IFERROR(tblVariance[[#This Row],[Actual Cost]]/tblVariance[[#This Row],[Budget]],0)</f>
        <v>0</v>
      </c>
      <c r="I35" t="str">
        <f>IF(tblVariance[[#This Row],[Actual Cost]]&gt;tblVariance[[#This Row],[Budget]],"Over Budget",IF(tblVariance[[#This Row],[Budget Used %]]&gt;=0.8,"High Usage",IF(tblVariance[[#This Row],[Budget Used %]]&gt;=0.5,"Monitor","Within Budget")))</f>
        <v>Within Budget</v>
      </c>
    </row>
    <row r="36" spans="1:9">
      <c r="A36" s="8" t="s">
        <v>32</v>
      </c>
      <c r="B36" t="str">
        <f>_xll.XLOOKUP(tblVariance[[#This Row],[Project ID]],tblProjects[Project ID],tblProjects[Project Name],"Project not found")</f>
        <v>Flood Defence Echo</v>
      </c>
      <c r="C36" s="8" t="s">
        <v>69</v>
      </c>
      <c r="D36" s="18" t="str">
        <f>_xll.XLOOKUP(tblVariance[[#This Row],[Category ID]],tblCostCategories[Category ID],tblCostCategories[Cost Category],"Category Not Found")</f>
        <v>Contingency</v>
      </c>
      <c r="E36" s="15">
        <f>SUMIFS(tblBudget[Budget Amount],tblBudget[Project ID],tblVariance[[#This Row],[Project ID]],tblBudget[Category ID], tblVariance[[#This Row],[Category ID]])</f>
        <v>79000</v>
      </c>
      <c r="F36" s="15">
        <f>SUMIFS(tblActualCosts[Amount],tblActualCosts[Project ID],tblVariance[[#This Row],[Project ID]],tblActualCosts[Category ID],tblVariance[[#This Row],[Category ID]])</f>
        <v>0</v>
      </c>
      <c r="G36" s="15">
        <f>tblVariance[[#This Row],[Budget]]-tblVariance[[#This Row],[Actual Cost]]</f>
        <v>79000</v>
      </c>
      <c r="H36" s="26">
        <f>IFERROR(tblVariance[[#This Row],[Actual Cost]]/tblVariance[[#This Row],[Budget]],0)</f>
        <v>0</v>
      </c>
      <c r="I36" t="str">
        <f>IF(tblVariance[[#This Row],[Actual Cost]]&gt;tblVariance[[#This Row],[Budget]],"Over Budget",IF(tblVariance[[#This Row],[Budget Used %]]&gt;=0.8,"High Usage",IF(tblVariance[[#This Row],[Budget Used %]]&gt;=0.5,"Monitor","Within Budget")))</f>
        <v>Within Budget</v>
      </c>
    </row>
    <row r="37" spans="1:9">
      <c r="A37" s="31" t="s">
        <v>166</v>
      </c>
      <c r="C37" s="31"/>
      <c r="E37" s="15">
        <f>SUBTOTAL(109,tblVariance[Budget])</f>
        <v>20475000</v>
      </c>
      <c r="F37" s="15">
        <f>SUBTOTAL(109,tblVariance[Actual Cost])</f>
        <v>3041000</v>
      </c>
      <c r="G37" s="15">
        <f>SUBTOTAL(109,tblVariance[Remaining Budget])</f>
        <v>17434000</v>
      </c>
      <c r="H37" s="26">
        <f>tblVariance[[#Totals],[Actual Cost]]/tblVariance[[#Totals],[Budget]]</f>
        <v>0.14852258852258851</v>
      </c>
    </row>
  </sheetData>
  <conditionalFormatting sqref="I2:I36">
    <cfRule type="containsText" dxfId="17" priority="1" operator="containsText" text="Within Budget">
      <formula>NOT(ISERROR(SEARCH("Within Budget",I2)))</formula>
    </cfRule>
    <cfRule type="containsText" dxfId="16" priority="2" operator="containsText" text="Monitor">
      <formula>NOT(ISERROR(SEARCH("Monitor",I2)))</formula>
    </cfRule>
    <cfRule type="containsText" dxfId="15" priority="3" operator="containsText" text="High Usage">
      <formula>NOT(ISERROR(SEARCH("High Usage",I2)))</formula>
    </cfRule>
    <cfRule type="containsText" dxfId="14" priority="4" operator="containsText" text="Over Budget">
      <formula>NOT(ISERROR(SEARCH("Over Budget",I2)))</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E3870-0748-4DA2-8932-31D3882FD88B}">
  <dimension ref="A3:D45"/>
  <sheetViews>
    <sheetView workbookViewId="0">
      <selection activeCell="D16" sqref="D16"/>
    </sheetView>
  </sheetViews>
  <sheetFormatPr defaultRowHeight="14.5"/>
  <cols>
    <col min="1" max="1" width="18.26953125" bestFit="1" customWidth="1"/>
    <col min="2" max="2" width="14" bestFit="1" customWidth="1"/>
    <col min="3" max="6" width="17.54296875" bestFit="1" customWidth="1"/>
    <col min="7" max="7" width="10.7265625" bestFit="1" customWidth="1"/>
  </cols>
  <sheetData>
    <row r="3" spans="1:4">
      <c r="A3" s="32" t="s">
        <v>78</v>
      </c>
      <c r="B3" t="s">
        <v>173</v>
      </c>
    </row>
    <row r="4" spans="1:4">
      <c r="A4" s="30" t="s">
        <v>171</v>
      </c>
      <c r="B4" s="15">
        <v>883000</v>
      </c>
    </row>
    <row r="5" spans="1:4">
      <c r="A5" s="30" t="s">
        <v>170</v>
      </c>
      <c r="B5" s="15">
        <v>844000</v>
      </c>
    </row>
    <row r="6" spans="1:4">
      <c r="A6" s="30" t="s">
        <v>172</v>
      </c>
      <c r="B6" s="15">
        <v>574000</v>
      </c>
    </row>
    <row r="7" spans="1:4">
      <c r="A7" s="30" t="s">
        <v>169</v>
      </c>
      <c r="B7" s="15">
        <v>411000</v>
      </c>
    </row>
    <row r="8" spans="1:4">
      <c r="A8" s="30" t="s">
        <v>168</v>
      </c>
      <c r="B8" s="15">
        <v>329000</v>
      </c>
    </row>
    <row r="9" spans="1:4">
      <c r="A9" s="30" t="s">
        <v>167</v>
      </c>
      <c r="B9" s="15">
        <v>3041000</v>
      </c>
    </row>
    <row r="13" spans="1:4">
      <c r="A13" s="32" t="s">
        <v>1</v>
      </c>
      <c r="B13" t="s">
        <v>174</v>
      </c>
    </row>
    <row r="14" spans="1:4">
      <c r="D14" s="33">
        <v>3041000</v>
      </c>
    </row>
    <row r="15" spans="1:4">
      <c r="A15" s="32" t="s">
        <v>55</v>
      </c>
      <c r="B15" s="15" t="s">
        <v>173</v>
      </c>
    </row>
    <row r="16" spans="1:4">
      <c r="A16" t="s">
        <v>60</v>
      </c>
      <c r="B16" s="15">
        <v>1233000</v>
      </c>
      <c r="C16" s="15">
        <v>100000</v>
      </c>
      <c r="D16" s="26">
        <f t="shared" ref="D16:D21" si="0">C16/$D$14</f>
        <v>3.2883919763235778E-2</v>
      </c>
    </row>
    <row r="17" spans="1:4">
      <c r="A17" t="s">
        <v>58</v>
      </c>
      <c r="B17" s="15">
        <v>725000</v>
      </c>
      <c r="C17" s="15">
        <v>725000</v>
      </c>
      <c r="D17" s="26">
        <f t="shared" si="0"/>
        <v>0.23840841828345938</v>
      </c>
    </row>
    <row r="18" spans="1:4">
      <c r="A18" t="s">
        <v>64</v>
      </c>
      <c r="B18" s="15">
        <v>543000</v>
      </c>
      <c r="C18" s="15">
        <v>1233000</v>
      </c>
      <c r="D18" s="26">
        <f t="shared" si="0"/>
        <v>0.40545873068069715</v>
      </c>
    </row>
    <row r="19" spans="1:4">
      <c r="A19" t="s">
        <v>62</v>
      </c>
      <c r="B19" s="15">
        <v>392000</v>
      </c>
      <c r="C19" s="15">
        <v>392000</v>
      </c>
      <c r="D19" s="26">
        <f t="shared" si="0"/>
        <v>0.12890496547188424</v>
      </c>
    </row>
    <row r="20" spans="1:4">
      <c r="A20" t="s">
        <v>66</v>
      </c>
      <c r="B20" s="15">
        <v>100000</v>
      </c>
      <c r="C20" s="15">
        <v>48000</v>
      </c>
      <c r="D20" s="26">
        <f t="shared" si="0"/>
        <v>1.5784281486353174E-2</v>
      </c>
    </row>
    <row r="21" spans="1:4">
      <c r="A21" t="s">
        <v>68</v>
      </c>
      <c r="B21" s="15">
        <v>48000</v>
      </c>
      <c r="C21" s="15">
        <v>543000</v>
      </c>
      <c r="D21" s="26">
        <f t="shared" si="0"/>
        <v>0.17855968431437028</v>
      </c>
    </row>
    <row r="22" spans="1:4">
      <c r="A22" t="s">
        <v>167</v>
      </c>
      <c r="B22" s="15">
        <v>3041000</v>
      </c>
    </row>
    <row r="24" spans="1:4">
      <c r="A24" s="32" t="s">
        <v>1</v>
      </c>
      <c r="B24" t="s">
        <v>174</v>
      </c>
    </row>
    <row r="26" spans="1:4">
      <c r="A26" s="32" t="s">
        <v>75</v>
      </c>
      <c r="B26" s="15" t="s">
        <v>173</v>
      </c>
    </row>
    <row r="27" spans="1:4">
      <c r="A27" t="s">
        <v>140</v>
      </c>
      <c r="B27" s="15">
        <v>172000</v>
      </c>
    </row>
    <row r="28" spans="1:4">
      <c r="A28" t="s">
        <v>80</v>
      </c>
      <c r="B28" s="15">
        <v>185000</v>
      </c>
    </row>
    <row r="29" spans="1:4">
      <c r="A29" t="s">
        <v>128</v>
      </c>
      <c r="B29" s="15">
        <v>194000</v>
      </c>
    </row>
    <row r="30" spans="1:4">
      <c r="A30" t="s">
        <v>120</v>
      </c>
      <c r="B30" s="15">
        <v>265000</v>
      </c>
    </row>
    <row r="31" spans="1:4">
      <c r="A31" t="s">
        <v>83</v>
      </c>
      <c r="B31" s="15">
        <v>283000</v>
      </c>
    </row>
    <row r="32" spans="1:4">
      <c r="A32" t="s">
        <v>167</v>
      </c>
      <c r="B32" s="15">
        <v>1099000</v>
      </c>
    </row>
    <row r="39" spans="1:2">
      <c r="A39" s="32" t="s">
        <v>184</v>
      </c>
      <c r="B39" t="s">
        <v>185</v>
      </c>
    </row>
    <row r="40" spans="1:2">
      <c r="A40" s="40" t="s">
        <v>10</v>
      </c>
      <c r="B40" s="39">
        <v>1</v>
      </c>
    </row>
    <row r="41" spans="1:2">
      <c r="A41" s="40" t="s">
        <v>17</v>
      </c>
      <c r="B41" s="39">
        <v>1</v>
      </c>
    </row>
    <row r="42" spans="1:2">
      <c r="A42" s="40" t="s">
        <v>23</v>
      </c>
      <c r="B42" s="39">
        <v>1</v>
      </c>
    </row>
    <row r="43" spans="1:2">
      <c r="A43" s="40" t="s">
        <v>29</v>
      </c>
      <c r="B43" s="39">
        <v>1</v>
      </c>
    </row>
    <row r="44" spans="1:2">
      <c r="A44" s="40" t="s">
        <v>32</v>
      </c>
      <c r="B44" s="39">
        <v>1</v>
      </c>
    </row>
    <row r="45" spans="1:2">
      <c r="A45" s="40" t="s">
        <v>167</v>
      </c>
      <c r="B45" s="39">
        <v>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C168E-0ABA-48C8-8AB6-39063DB30442}">
  <dimension ref="A1:S43"/>
  <sheetViews>
    <sheetView showGridLines="0" workbookViewId="0">
      <selection activeCell="G26" sqref="G26:H27"/>
    </sheetView>
  </sheetViews>
  <sheetFormatPr defaultRowHeight="14.5"/>
  <cols>
    <col min="1" max="12" width="15.6328125" customWidth="1"/>
  </cols>
  <sheetData>
    <row r="1" spans="1:19">
      <c r="A1" s="68" t="s">
        <v>177</v>
      </c>
      <c r="B1" s="69"/>
      <c r="C1" s="69"/>
      <c r="D1" s="69"/>
      <c r="E1" s="69"/>
      <c r="F1" s="69"/>
      <c r="G1" s="69"/>
      <c r="H1" s="69"/>
      <c r="I1" s="69"/>
      <c r="J1" s="69"/>
      <c r="K1" s="69"/>
      <c r="L1" s="69"/>
    </row>
    <row r="2" spans="1:19" ht="20" customHeight="1">
      <c r="A2" s="69"/>
      <c r="B2" s="69"/>
      <c r="C2" s="69"/>
      <c r="D2" s="69"/>
      <c r="E2" s="69"/>
      <c r="F2" s="69"/>
      <c r="G2" s="69"/>
      <c r="H2" s="69"/>
      <c r="I2" s="69"/>
      <c r="J2" s="69"/>
      <c r="K2" s="69"/>
      <c r="L2" s="69"/>
    </row>
    <row r="3" spans="1:19" ht="26.5" customHeight="1">
      <c r="A3" s="65" t="s">
        <v>178</v>
      </c>
      <c r="B3" s="66"/>
      <c r="C3" s="66"/>
      <c r="D3" s="66"/>
      <c r="E3" s="66"/>
      <c r="F3" s="66"/>
      <c r="G3" s="66"/>
      <c r="H3" s="66"/>
      <c r="I3" s="66"/>
      <c r="J3" s="66"/>
      <c r="K3" s="66"/>
      <c r="L3" s="66"/>
      <c r="Q3" s="49"/>
      <c r="R3" s="50"/>
      <c r="S3" s="51"/>
    </row>
    <row r="4" spans="1:19" ht="31" customHeight="1">
      <c r="Q4" s="52"/>
      <c r="R4" s="53"/>
      <c r="S4" s="54"/>
    </row>
    <row r="5" spans="1:19" ht="19.5" customHeight="1">
      <c r="A5" s="37"/>
      <c r="B5" s="37"/>
      <c r="C5" s="37"/>
      <c r="D5" s="37"/>
      <c r="E5" s="37"/>
      <c r="F5" s="37"/>
      <c r="G5" s="37"/>
      <c r="H5" s="37"/>
      <c r="I5" s="37"/>
      <c r="J5" s="37"/>
      <c r="K5" s="37"/>
      <c r="L5" s="37"/>
      <c r="Q5" s="55"/>
      <c r="R5" s="56"/>
      <c r="S5" s="57"/>
    </row>
    <row r="6" spans="1:19" ht="21">
      <c r="A6" s="67" t="s">
        <v>175</v>
      </c>
      <c r="B6" s="67"/>
      <c r="C6" s="60" t="s">
        <v>176</v>
      </c>
      <c r="D6" s="60"/>
      <c r="E6" s="60" t="s">
        <v>160</v>
      </c>
      <c r="F6" s="60"/>
      <c r="G6" s="60" t="s">
        <v>161</v>
      </c>
      <c r="H6" s="60"/>
      <c r="I6" s="60" t="s">
        <v>72</v>
      </c>
      <c r="J6" s="60"/>
      <c r="K6" s="60" t="s">
        <v>162</v>
      </c>
      <c r="L6" s="60"/>
    </row>
    <row r="7" spans="1:19" s="38" customFormat="1" ht="35.5" customHeight="1">
      <c r="A7" s="63">
        <f>SUM(tblProjects[Contract Value])</f>
        <v>22750000</v>
      </c>
      <c r="B7" s="63"/>
      <c r="C7" s="63">
        <f>SUM(tblBudget[Budget Amount])</f>
        <v>20475000</v>
      </c>
      <c r="D7" s="63"/>
      <c r="E7" s="63">
        <f>SUM(tblActualCosts[Amount])</f>
        <v>3041000</v>
      </c>
      <c r="F7" s="63"/>
      <c r="G7" s="63">
        <f>SUM(tblReconciliation[Remaining Budget])</f>
        <v>17434000</v>
      </c>
      <c r="H7" s="63"/>
      <c r="I7" s="63">
        <f>SUM(tblReconciliation[Planned Margin])</f>
        <v>2275000</v>
      </c>
      <c r="J7" s="63"/>
      <c r="K7" s="64">
        <f>SUM(tblActualCosts[Amount])/SUM(tblBudget[Budget Amount])</f>
        <v>0.14852258852258851</v>
      </c>
      <c r="L7" s="64"/>
    </row>
    <row r="25" spans="1:12" ht="21">
      <c r="A25" s="67" t="s">
        <v>179</v>
      </c>
      <c r="B25" s="67"/>
      <c r="C25" s="60" t="s">
        <v>181</v>
      </c>
      <c r="D25" s="60"/>
      <c r="E25" s="60" t="s">
        <v>182</v>
      </c>
      <c r="F25" s="60"/>
      <c r="G25" s="60" t="s">
        <v>183</v>
      </c>
      <c r="H25" s="60"/>
    </row>
    <row r="26" spans="1:12" ht="31" customHeight="1">
      <c r="A26" s="58" t="str">
        <f>Pivot_Analysis!A16</f>
        <v>Materials</v>
      </c>
      <c r="B26" s="58"/>
      <c r="C26" s="62" t="str">
        <f>Pivot_Analysis!A5</f>
        <v>01-Mar</v>
      </c>
      <c r="D26" s="62"/>
      <c r="E26" s="58" t="str">
        <f>Pivot_Analysis!A27</f>
        <v>Track Materials UK</v>
      </c>
      <c r="F26" s="58"/>
      <c r="G26" s="61">
        <f>GETPIVOTDATA("Project ID",Pivot_Analysis!$A$39)</f>
        <v>5</v>
      </c>
      <c r="H26" s="61"/>
    </row>
    <row r="27" spans="1:12" ht="31">
      <c r="A27" s="63">
        <f>GETPIVOTDATA("Amount",Pivot_Analysis!$A$15,"Cost Category","Materials")</f>
        <v>1233000</v>
      </c>
      <c r="B27" s="63"/>
      <c r="C27" s="59">
        <f>GETPIVOTDATA("Amount",Pivot_Analysis!$A$3,"Month",92)</f>
        <v>883000</v>
      </c>
      <c r="D27" s="59"/>
      <c r="E27" s="59">
        <f>GETPIVOTDATA("Amount",Pivot_Analysis!$A$26,"Supplier","BuildForce Labour")</f>
        <v>283000</v>
      </c>
      <c r="F27" s="59"/>
      <c r="G27" s="61"/>
      <c r="H27" s="61"/>
    </row>
    <row r="28" spans="1:12">
      <c r="G28" s="36"/>
      <c r="H28" s="36"/>
      <c r="I28" s="36"/>
      <c r="J28" s="36"/>
      <c r="K28" s="36"/>
      <c r="L28" s="36"/>
    </row>
    <row r="29" spans="1:12">
      <c r="G29" s="36"/>
      <c r="H29" s="36"/>
      <c r="I29" s="36"/>
      <c r="J29" s="36"/>
      <c r="K29" s="36"/>
      <c r="L29" s="36"/>
    </row>
    <row r="30" spans="1:12">
      <c r="G30" s="36"/>
      <c r="H30" s="36"/>
      <c r="I30" s="36"/>
      <c r="J30" s="36"/>
      <c r="K30" s="36"/>
      <c r="L30" s="36"/>
    </row>
    <row r="31" spans="1:12">
      <c r="G31" s="36"/>
      <c r="H31" s="36"/>
      <c r="I31" s="36"/>
      <c r="J31" s="36"/>
      <c r="K31" s="36"/>
      <c r="L31" s="36"/>
    </row>
    <row r="32" spans="1:12">
      <c r="G32" s="36"/>
      <c r="H32" s="36"/>
      <c r="I32" s="36"/>
      <c r="J32" s="36"/>
      <c r="K32" s="36"/>
      <c r="L32" s="36"/>
    </row>
    <row r="33" spans="7:12">
      <c r="G33" s="36"/>
      <c r="H33" s="36"/>
      <c r="I33" s="36"/>
      <c r="J33" s="36"/>
      <c r="K33" s="36"/>
      <c r="L33" s="36"/>
    </row>
    <row r="34" spans="7:12">
      <c r="G34" s="36"/>
      <c r="H34" s="36"/>
      <c r="I34" s="36"/>
      <c r="J34" s="36"/>
      <c r="K34" s="36"/>
      <c r="L34" s="36"/>
    </row>
    <row r="35" spans="7:12">
      <c r="G35" s="36"/>
      <c r="H35" s="36"/>
      <c r="I35" s="36"/>
      <c r="J35" s="36"/>
      <c r="K35" s="36"/>
      <c r="L35" s="36"/>
    </row>
    <row r="36" spans="7:12">
      <c r="G36" s="36"/>
      <c r="H36" s="36"/>
      <c r="I36" s="36"/>
      <c r="J36" s="36"/>
      <c r="K36" s="36"/>
      <c r="L36" s="36"/>
    </row>
    <row r="37" spans="7:12">
      <c r="G37" s="36"/>
      <c r="H37" s="36"/>
      <c r="I37" s="36"/>
      <c r="J37" s="36"/>
      <c r="K37" s="36"/>
      <c r="L37" s="36"/>
    </row>
    <row r="38" spans="7:12">
      <c r="G38" s="36"/>
      <c r="H38" s="36"/>
      <c r="I38" s="36"/>
      <c r="J38" s="36"/>
      <c r="K38" s="36"/>
      <c r="L38" s="36"/>
    </row>
    <row r="39" spans="7:12">
      <c r="G39" s="36"/>
      <c r="H39" s="36"/>
      <c r="I39" s="36"/>
      <c r="J39" s="36"/>
      <c r="K39" s="36"/>
      <c r="L39" s="36"/>
    </row>
    <row r="40" spans="7:12">
      <c r="G40" s="36"/>
      <c r="H40" s="36"/>
      <c r="I40" s="36"/>
      <c r="J40" s="36"/>
      <c r="K40" s="36"/>
      <c r="L40" s="36"/>
    </row>
    <row r="41" spans="7:12">
      <c r="G41" s="36"/>
      <c r="H41" s="36"/>
      <c r="I41" s="36"/>
      <c r="J41" s="36"/>
      <c r="K41" s="36"/>
      <c r="L41" s="36"/>
    </row>
    <row r="42" spans="7:12">
      <c r="G42" s="36"/>
      <c r="H42" s="36"/>
      <c r="I42" s="36"/>
      <c r="J42" s="36"/>
      <c r="K42" s="36"/>
      <c r="L42" s="36"/>
    </row>
    <row r="43" spans="7:12">
      <c r="G43" s="36"/>
      <c r="H43" s="36"/>
      <c r="I43" s="36"/>
      <c r="J43" s="36"/>
      <c r="K43" s="36"/>
      <c r="L43" s="36"/>
    </row>
  </sheetData>
  <mergeCells count="26">
    <mergeCell ref="A1:L2"/>
    <mergeCell ref="A6:B6"/>
    <mergeCell ref="A7:B7"/>
    <mergeCell ref="C6:D6"/>
    <mergeCell ref="C7:D7"/>
    <mergeCell ref="E6:F6"/>
    <mergeCell ref="E7:F7"/>
    <mergeCell ref="G6:H6"/>
    <mergeCell ref="G7:H7"/>
    <mergeCell ref="I6:J6"/>
    <mergeCell ref="A26:B26"/>
    <mergeCell ref="C25:D25"/>
    <mergeCell ref="C26:D26"/>
    <mergeCell ref="C27:D27"/>
    <mergeCell ref="A27:B27"/>
    <mergeCell ref="A25:B25"/>
    <mergeCell ref="Q3:S5"/>
    <mergeCell ref="E26:F26"/>
    <mergeCell ref="E27:F27"/>
    <mergeCell ref="G25:H25"/>
    <mergeCell ref="G26:H27"/>
    <mergeCell ref="I7:J7"/>
    <mergeCell ref="K6:L6"/>
    <mergeCell ref="K7:L7"/>
    <mergeCell ref="A3:L3"/>
    <mergeCell ref="E25:F2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07F2-EC36-41CA-98FF-497F065EF935}">
  <dimension ref="A1:H42"/>
  <sheetViews>
    <sheetView workbookViewId="0">
      <selection activeCell="D27" sqref="D27"/>
    </sheetView>
  </sheetViews>
  <sheetFormatPr defaultRowHeight="14.5"/>
  <cols>
    <col min="1" max="1" width="21.54296875" customWidth="1"/>
    <col min="2" max="2" width="28.1796875" customWidth="1"/>
    <col min="3" max="3" width="13.1796875" customWidth="1"/>
    <col min="4" max="4" width="18.1796875" customWidth="1"/>
    <col min="5" max="5" width="14.81640625" customWidth="1"/>
    <col min="6" max="6" width="12.08984375" customWidth="1"/>
  </cols>
  <sheetData>
    <row r="1" spans="1:6">
      <c r="A1" s="41" t="s">
        <v>186</v>
      </c>
      <c r="B1" s="41" t="s">
        <v>187</v>
      </c>
    </row>
    <row r="2" spans="1:6">
      <c r="A2" s="3" t="s">
        <v>175</v>
      </c>
      <c r="B2" s="45">
        <f>SUM(tblProjects[Contract Value])</f>
        <v>22750000</v>
      </c>
    </row>
    <row r="3" spans="1:6">
      <c r="A3" s="3" t="s">
        <v>188</v>
      </c>
      <c r="B3" s="45">
        <f>SUM(tblBudget[Budget Amount])</f>
        <v>20475000</v>
      </c>
    </row>
    <row r="4" spans="1:6">
      <c r="A4" s="3" t="s">
        <v>160</v>
      </c>
      <c r="B4" s="46">
        <f>SUM(tblActualCosts[Amount])</f>
        <v>3041000</v>
      </c>
    </row>
    <row r="5" spans="1:6">
      <c r="A5" s="3" t="s">
        <v>161</v>
      </c>
      <c r="B5" s="46">
        <f>SUM(tblReconciliation[Remaining Budget])</f>
        <v>17434000</v>
      </c>
    </row>
    <row r="6" spans="1:6">
      <c r="A6" s="3" t="s">
        <v>72</v>
      </c>
      <c r="B6" s="46">
        <f>SUM(tblReconciliation[Planned Margin])</f>
        <v>2275000</v>
      </c>
    </row>
    <row r="7" spans="1:6">
      <c r="A7" s="3" t="s">
        <v>162</v>
      </c>
      <c r="B7" s="43">
        <f>B4/B3</f>
        <v>0.14852258852258851</v>
      </c>
    </row>
    <row r="8" spans="1:6">
      <c r="A8" s="3" t="s">
        <v>179</v>
      </c>
      <c r="B8" s="3" t="str">
        <f>Pivot_Analysis!A16</f>
        <v>Materials</v>
      </c>
    </row>
    <row r="9" spans="1:6">
      <c r="A9" s="3" t="s">
        <v>181</v>
      </c>
      <c r="B9" s="44" t="str">
        <f>Pivot_Analysis!A5</f>
        <v>01-Mar</v>
      </c>
    </row>
    <row r="10" spans="1:6">
      <c r="A10" s="3" t="s">
        <v>182</v>
      </c>
      <c r="B10" s="3" t="str">
        <f>Pivot_Analysis!A27</f>
        <v>Track Materials UK</v>
      </c>
    </row>
    <row r="11" spans="1:6">
      <c r="A11" s="3" t="s">
        <v>189</v>
      </c>
      <c r="B11" s="42">
        <f>COUNTA(tblProjects[Project ID])</f>
        <v>5</v>
      </c>
    </row>
    <row r="12" spans="1:6">
      <c r="A12" s="3" t="s">
        <v>191</v>
      </c>
      <c r="B12" s="47">
        <f>(B3-B4)/B3</f>
        <v>0.85147741147741152</v>
      </c>
    </row>
    <row r="16" spans="1:6">
      <c r="A16" t="s">
        <v>193</v>
      </c>
      <c r="B16" t="s">
        <v>194</v>
      </c>
      <c r="C16" t="s">
        <v>163</v>
      </c>
      <c r="D16" t="s">
        <v>192</v>
      </c>
      <c r="E16" s="22" t="s">
        <v>195</v>
      </c>
      <c r="F16" t="s">
        <v>9</v>
      </c>
    </row>
    <row r="17" spans="1:6">
      <c r="A17" s="8" t="s">
        <v>10</v>
      </c>
      <c r="B17" t="str">
        <f>_xll.XLOOKUP(A17,tblProjects[Project ID],tblProjects[Project Name])</f>
        <v>Bridge Alpha</v>
      </c>
      <c r="C17" s="48">
        <f>_xll.XLOOKUP(Table9[[#This Row],[project ID]],tblReconciliation[Project ID],tblReconciliation[Cost Budget])</f>
        <v>4680000</v>
      </c>
      <c r="D17" s="48">
        <f>_xll.XLOOKUP(Table9[[#This Row],[project ID]],tblReconciliation[Project ID],tblReconciliation[Actual Spend])</f>
        <v>861000</v>
      </c>
      <c r="E17" s="22">
        <f>_xll.XLOOKUP(Table9[[#This Row],[project ID]],tblReconciliation[Project ID],tblReconciliation[Budget Used %])</f>
        <v>0.18397435897435899</v>
      </c>
      <c r="F17" t="str">
        <f>IFERROR(IF(Table9[[#This Row],[budget used %]]&lt;0.8,"On Track",IF(Table9[[#This Row],[budget used %]]&lt;1,"Monitor","Over Budget")),0)</f>
        <v>On Track</v>
      </c>
    </row>
    <row r="18" spans="1:6">
      <c r="A18" s="34" t="s">
        <v>17</v>
      </c>
      <c r="B18" t="str">
        <f>_xll.XLOOKUP(A18,tblProjects[Project ID],tblProjects[Project Name])</f>
        <v>Water Main Bravo</v>
      </c>
      <c r="C18" s="48">
        <f>_xll.XLOOKUP(Table9[[#This Row],[project ID]],tblReconciliation[Project ID],tblReconciliation[Cost Budget])</f>
        <v>3420000</v>
      </c>
      <c r="D18" s="48">
        <f>_xll.XLOOKUP(Table9[[#This Row],[project ID]],tblReconciliation[Project ID],tblReconciliation[Actual Spend])</f>
        <v>504000</v>
      </c>
      <c r="E18" s="22">
        <f>_xll.XLOOKUP(Table9[[#This Row],[project ID]],tblReconciliation[Project ID],tblReconciliation[Budget Used %])</f>
        <v>0.14736842105263157</v>
      </c>
      <c r="F18" t="str">
        <f>IFERROR(IF(Table9[[#This Row],[budget used %]]&lt;0.8,"On Track",IF(Table9[[#This Row],[budget used %]]&lt;1,"Monitor","Over Budget")),0)</f>
        <v>On Track</v>
      </c>
    </row>
    <row r="19" spans="1:6">
      <c r="A19" s="8" t="s">
        <v>23</v>
      </c>
      <c r="B19" t="str">
        <f>_xll.XLOOKUP(A19,tblProjects[Project ID],tblProjects[Project Name])</f>
        <v>Highway Charlie</v>
      </c>
      <c r="C19" s="48">
        <f>_xll.XLOOKUP(Table9[[#This Row],[project ID]],tblReconciliation[Project ID],tblReconciliation[Cost Budget])</f>
        <v>5490000</v>
      </c>
      <c r="D19" s="48">
        <f>_xll.XLOOKUP(Table9[[#This Row],[project ID]],tblReconciliation[Project ID],tblReconciliation[Actual Spend])</f>
        <v>877000</v>
      </c>
      <c r="E19" s="22">
        <f>_xll.XLOOKUP(Table9[[#This Row],[project ID]],tblReconciliation[Project ID],tblReconciliation[Budget Used %])</f>
        <v>0.15974499089253189</v>
      </c>
      <c r="F19" t="str">
        <f>IFERROR(IF(Table9[[#This Row],[budget used %]]&lt;0.8,"On Track",IF(Table9[[#This Row],[budget used %]]&lt;1,"Monitor","Over Budget")),0)</f>
        <v>On Track</v>
      </c>
    </row>
    <row r="20" spans="1:6">
      <c r="A20" s="34" t="s">
        <v>29</v>
      </c>
      <c r="B20" t="str">
        <f>_xll.XLOOKUP(A20,tblProjects[Project ID],tblProjects[Project Name])</f>
        <v>Rail Extension Delta</v>
      </c>
      <c r="C20" s="48">
        <f>_xll.XLOOKUP(Table9[[#This Row],[project ID]],tblReconciliation[Project ID],tblReconciliation[Cost Budget])</f>
        <v>4230000</v>
      </c>
      <c r="D20" s="48">
        <f>_xll.XLOOKUP(Table9[[#This Row],[project ID]],tblReconciliation[Project ID],tblReconciliation[Actual Spend])</f>
        <v>459000</v>
      </c>
      <c r="E20" s="22">
        <f>_xll.XLOOKUP(Table9[[#This Row],[project ID]],tblReconciliation[Project ID],tblReconciliation[Budget Used %])</f>
        <v>0.10851063829787234</v>
      </c>
      <c r="F20" t="str">
        <f>IFERROR(IF(Table9[[#This Row],[budget used %]]&lt;0.8,"On Track",IF(Table9[[#This Row],[budget used %]]&lt;1,"Monitor","Over Budget")),0)</f>
        <v>On Track</v>
      </c>
    </row>
    <row r="21" spans="1:6">
      <c r="A21" s="8" t="s">
        <v>32</v>
      </c>
      <c r="B21" t="str">
        <f>_xll.XLOOKUP(A21,tblProjects[Project ID],tblProjects[Project Name])</f>
        <v>Flood Defence Echo</v>
      </c>
      <c r="C21" s="48">
        <f>_xll.XLOOKUP(Table9[[#This Row],[project ID]],tblReconciliation[Project ID],tblReconciliation[Cost Budget])</f>
        <v>2655000</v>
      </c>
      <c r="D21" s="48">
        <f>_xll.XLOOKUP(Table9[[#This Row],[project ID]],tblReconciliation[Project ID],tblReconciliation[Actual Spend])</f>
        <v>340000</v>
      </c>
      <c r="E21" s="22">
        <f>_xll.XLOOKUP(Table9[[#This Row],[project ID]],tblReconciliation[Project ID],tblReconciliation[Budget Used %])</f>
        <v>0.128060263653484</v>
      </c>
      <c r="F21" t="str">
        <f>IFERROR(IF(Table9[[#This Row],[budget used %]]&lt;0.8,"On Track",IF(Table9[[#This Row],[budget used %]]&lt;1,"Monitor","Over Budget")),0)</f>
        <v>On Track</v>
      </c>
    </row>
    <row r="26" spans="1:6">
      <c r="A26" s="74" t="s">
        <v>194</v>
      </c>
      <c r="B26" t="s">
        <v>9</v>
      </c>
      <c r="C26" t="s">
        <v>196</v>
      </c>
      <c r="D26" s="41" t="s">
        <v>197</v>
      </c>
    </row>
    <row r="27" spans="1:6" ht="19.5" customHeight="1">
      <c r="A27" s="75" t="s">
        <v>11</v>
      </c>
      <c r="B27" t="str">
        <f>IF(Table10[[#This Row],[Budget used]]&lt;0.8,"On Track",IF(Table10[[#This Row],[Budget used]]&lt;1,"Monitor","Over Budget"))</f>
        <v>On Track</v>
      </c>
      <c r="C27" s="22">
        <f>D17/C17</f>
        <v>0.18397435897435899</v>
      </c>
      <c r="D27" s="3" t="s">
        <v>14</v>
      </c>
    </row>
    <row r="28" spans="1:6" ht="24" customHeight="1">
      <c r="A28" s="76" t="s">
        <v>18</v>
      </c>
      <c r="B28" t="str">
        <f>IF(Table10[[#This Row],[Budget used]]&lt;0.8,"On Track",IF(Table10[[#This Row],[Budget used]]&lt;1,"Monitor","Over Budget"))</f>
        <v>On Track</v>
      </c>
      <c r="C28" s="22">
        <f>D18/C18</f>
        <v>0.14736842105263157</v>
      </c>
      <c r="D28" s="3" t="s">
        <v>21</v>
      </c>
    </row>
    <row r="29" spans="1:6" ht="20" customHeight="1">
      <c r="A29" s="75" t="s">
        <v>24</v>
      </c>
      <c r="B29" t="str">
        <f>IF(Table10[[#This Row],[Budget used]]&lt;0.8,"On Track",IF(Table10[[#This Row],[Budget used]]&lt;1,"Monitor","Over Budget"))</f>
        <v>On Track</v>
      </c>
      <c r="C29" s="22">
        <f>D19/C19</f>
        <v>0.15974499089253189</v>
      </c>
      <c r="D29" s="3" t="s">
        <v>27</v>
      </c>
    </row>
    <row r="30" spans="1:6" ht="17" customHeight="1">
      <c r="A30" s="76" t="s">
        <v>30</v>
      </c>
      <c r="B30" t="str">
        <f>IF(Table10[[#This Row],[Budget used]]&lt;0.8,"On Track",IF(Table10[[#This Row],[Budget used]]&lt;1,"Monitor","Over Budget"))</f>
        <v>On Track</v>
      </c>
      <c r="C30" s="22">
        <f>D20/C20</f>
        <v>0.10851063829787234</v>
      </c>
      <c r="D30" s="3" t="s">
        <v>31</v>
      </c>
    </row>
    <row r="31" spans="1:6" ht="18.5" customHeight="1">
      <c r="A31" s="75" t="s">
        <v>33</v>
      </c>
      <c r="B31" t="str">
        <f>IF(Table10[[#This Row],[Budget used]]&lt;0.8,"On Track",IF(Table10[[#This Row],[Budget used]]&lt;1,"Monitor","Over Budget"))</f>
        <v>On Track</v>
      </c>
      <c r="C31" s="22">
        <f>D21/C21</f>
        <v>0.128060263653484</v>
      </c>
      <c r="D31" s="3" t="s">
        <v>36</v>
      </c>
    </row>
    <row r="36" spans="1:8">
      <c r="A36" s="41"/>
      <c r="B36" s="41"/>
      <c r="C36" s="77"/>
      <c r="D36" s="41"/>
    </row>
    <row r="37" spans="1:8">
      <c r="A37" s="3"/>
      <c r="B37" s="2"/>
      <c r="C37" s="78"/>
      <c r="D37" s="3"/>
    </row>
    <row r="38" spans="1:8">
      <c r="A38" s="3"/>
      <c r="B38" s="2"/>
      <c r="C38" s="78"/>
      <c r="D38" s="3"/>
    </row>
    <row r="39" spans="1:8">
      <c r="A39" s="3"/>
      <c r="B39" s="2"/>
      <c r="C39" s="78"/>
      <c r="D39" s="3"/>
    </row>
    <row r="40" spans="1:8">
      <c r="A40" s="3"/>
      <c r="B40" s="2"/>
      <c r="C40" s="78"/>
      <c r="D40" s="3"/>
    </row>
    <row r="41" spans="1:8">
      <c r="A41" s="3"/>
      <c r="B41" s="2"/>
      <c r="C41" s="78"/>
      <c r="D41" s="3"/>
    </row>
    <row r="42" spans="1:8">
      <c r="H42" t="s">
        <v>198</v>
      </c>
    </row>
  </sheetData>
  <conditionalFormatting sqref="F16:F21">
    <cfRule type="containsText" dxfId="13" priority="4" operator="containsText" text="Over Budget">
      <formula>NOT(ISERROR(SEARCH("Over Budget",F16)))</formula>
    </cfRule>
    <cfRule type="containsText" dxfId="12" priority="5" operator="containsText" text="Monitor">
      <formula>NOT(ISERROR(SEARCH("Monitor",F16)))</formula>
    </cfRule>
    <cfRule type="containsText" dxfId="11" priority="6" operator="containsText" text="On Track">
      <formula>NOT(ISERROR(SEARCH("On Track",F16)))</formula>
    </cfRule>
  </conditionalFormatting>
  <conditionalFormatting sqref="B27:B31">
    <cfRule type="containsText" dxfId="7" priority="3" operator="containsText" text="On Track">
      <formula>NOT(ISERROR(SEARCH("On Track",B27)))</formula>
    </cfRule>
    <cfRule type="containsText" dxfId="6" priority="2" operator="containsText" text="Monitor">
      <formula>NOT(ISERROR(SEARCH("Monitor",B27)))</formula>
    </cfRule>
    <cfRule type="containsText" dxfId="5" priority="1" operator="containsText" text="Over Budget">
      <formula>NOT(ISERROR(SEARCH("Over Budget",B27)))</formula>
    </cfRule>
  </conditionalFormatting>
  <pageMargins left="0.7" right="0.7" top="0.75" bottom="0.75" header="0.3" footer="0.3"/>
  <pageSetup paperSize="9" orientation="portrait"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5B43C-CE29-41E8-A01A-DAB65BCBE010}">
  <dimension ref="B1:M49"/>
  <sheetViews>
    <sheetView showGridLines="0" showRowColHeaders="0" zoomScale="80" zoomScaleNormal="80" workbookViewId="0">
      <selection activeCell="AI42" sqref="AI42"/>
    </sheetView>
  </sheetViews>
  <sheetFormatPr defaultRowHeight="14.5"/>
  <cols>
    <col min="1" max="1" width="3.6328125" customWidth="1"/>
    <col min="2" max="3" width="14.6328125" customWidth="1"/>
    <col min="4" max="4" width="18.90625" customWidth="1"/>
    <col min="5" max="13" width="14.6328125" customWidth="1"/>
    <col min="14" max="17" width="12.6328125" customWidth="1"/>
  </cols>
  <sheetData>
    <row r="1" spans="2:13" ht="12" customHeight="1"/>
    <row r="2" spans="2:13" ht="28" customHeight="1">
      <c r="B2" s="70" t="s">
        <v>190</v>
      </c>
      <c r="C2" s="71"/>
      <c r="D2" s="71"/>
      <c r="E2" s="71"/>
      <c r="F2" s="71"/>
      <c r="G2" s="71"/>
      <c r="H2" s="71"/>
      <c r="I2" s="71"/>
      <c r="J2" s="71"/>
      <c r="K2" s="71"/>
      <c r="L2" s="71"/>
      <c r="M2" s="71"/>
    </row>
    <row r="3" spans="2:13" ht="20" customHeight="1">
      <c r="B3" s="71"/>
      <c r="C3" s="71"/>
      <c r="D3" s="71"/>
      <c r="E3" s="71"/>
      <c r="F3" s="71"/>
      <c r="G3" s="71"/>
      <c r="H3" s="71"/>
      <c r="I3" s="71"/>
      <c r="J3" s="71"/>
      <c r="K3" s="71"/>
      <c r="L3" s="71"/>
      <c r="M3" s="71"/>
    </row>
    <row r="4" spans="2:13" ht="22" customHeight="1">
      <c r="B4" s="71"/>
      <c r="C4" s="71"/>
      <c r="D4" s="71"/>
      <c r="E4" s="71"/>
      <c r="F4" s="71"/>
      <c r="G4" s="71"/>
      <c r="H4" s="71"/>
      <c r="I4" s="71"/>
      <c r="J4" s="71"/>
      <c r="K4" s="71"/>
      <c r="L4" s="71"/>
      <c r="M4" s="71"/>
    </row>
    <row r="5" spans="2:13" ht="18" customHeight="1">
      <c r="B5" s="72" t="s">
        <v>178</v>
      </c>
      <c r="C5" s="73"/>
      <c r="D5" s="73"/>
      <c r="E5" s="73"/>
      <c r="F5" s="73"/>
      <c r="G5" s="73"/>
      <c r="H5" s="73"/>
      <c r="I5" s="73"/>
      <c r="J5" s="73"/>
      <c r="K5" s="73"/>
      <c r="L5" s="73"/>
      <c r="M5" s="73"/>
    </row>
    <row r="6" spans="2:13" ht="8" customHeight="1"/>
    <row r="7" spans="2:13" ht="22" customHeight="1"/>
    <row r="8" spans="2:13" ht="22" customHeight="1"/>
    <row r="9" spans="2:13" ht="22" customHeight="1"/>
    <row r="10" spans="2:13" ht="22" customHeight="1"/>
    <row r="11" spans="2:13" ht="22" customHeight="1"/>
    <row r="12" spans="2:13" ht="22" customHeight="1"/>
    <row r="13" spans="2:13" ht="22" customHeight="1"/>
    <row r="14" spans="2:13" ht="22" customHeight="1"/>
    <row r="15" spans="2:13" ht="22" customHeight="1"/>
    <row r="16" spans="2:13" ht="22" customHeight="1"/>
    <row r="17" ht="22" customHeight="1"/>
    <row r="18" ht="22" customHeight="1"/>
    <row r="19" ht="22" customHeight="1"/>
    <row r="20" ht="22" customHeight="1"/>
    <row r="21" ht="22" customHeight="1"/>
    <row r="22" ht="22" customHeight="1"/>
    <row r="23" ht="22" customHeight="1"/>
    <row r="24" ht="22" customHeight="1"/>
    <row r="25" ht="22" customHeight="1"/>
    <row r="26" ht="22" customHeight="1"/>
    <row r="27" ht="8" customHeight="1"/>
    <row r="28" ht="22" customHeight="1"/>
    <row r="29" ht="22" customHeight="1"/>
    <row r="30" ht="22" customHeight="1"/>
    <row r="31" ht="22" customHeight="1"/>
    <row r="32" ht="22" customHeight="1"/>
    <row r="33" spans="2:5" ht="22" customHeight="1"/>
    <row r="34" spans="2:5" ht="22" customHeight="1"/>
    <row r="35" spans="2:5" ht="22" customHeight="1"/>
    <row r="36" spans="2:5" ht="22" customHeight="1"/>
    <row r="37" spans="2:5" ht="22" customHeight="1"/>
    <row r="38" spans="2:5" ht="22" customHeight="1"/>
    <row r="39" spans="2:5" ht="22" customHeight="1"/>
    <row r="40" spans="2:5" ht="22" customHeight="1"/>
    <row r="43" spans="2:5" ht="8" customHeight="1"/>
    <row r="44" spans="2:5" ht="27.5" customHeight="1">
      <c r="B44" t="s">
        <v>194</v>
      </c>
      <c r="C44" s="18" t="s">
        <v>9</v>
      </c>
      <c r="D44" t="s">
        <v>162</v>
      </c>
      <c r="E44" s="18" t="s">
        <v>197</v>
      </c>
    </row>
    <row r="45" spans="2:5" ht="27.5" customHeight="1">
      <c r="B45" t="str">
        <f>Dashboard_data!A27</f>
        <v>Bridge Alpha</v>
      </c>
      <c r="C45" s="18" t="str">
        <f>Dashboard_data!B27</f>
        <v>On Track</v>
      </c>
      <c r="D45" s="79">
        <f>Dashboard_data!C27</f>
        <v>0.18397435897435899</v>
      </c>
      <c r="E45" t="str">
        <f>Dashboard_data!D27</f>
        <v>James Carter</v>
      </c>
    </row>
    <row r="46" spans="2:5" ht="30" customHeight="1">
      <c r="B46" t="str">
        <f>Dashboard_data!A28</f>
        <v>Water Main Bravo</v>
      </c>
      <c r="C46" s="18" t="str">
        <f>Dashboard_data!B28</f>
        <v>On Track</v>
      </c>
      <c r="D46" s="79">
        <f>Dashboard_data!C28</f>
        <v>0.14736842105263157</v>
      </c>
      <c r="E46" t="str">
        <f>Dashboard_data!D28</f>
        <v>Sarah Ahmed</v>
      </c>
    </row>
    <row r="47" spans="2:5" ht="24" customHeight="1">
      <c r="B47" t="str">
        <f>Dashboard_data!A29</f>
        <v>Highway Charlie</v>
      </c>
      <c r="C47" s="18" t="str">
        <f>Dashboard_data!B29</f>
        <v>On Track</v>
      </c>
      <c r="D47" s="79">
        <f>Dashboard_data!C29</f>
        <v>0.15974499089253189</v>
      </c>
      <c r="E47" t="str">
        <f>Dashboard_data!D29</f>
        <v>Michael Green</v>
      </c>
    </row>
    <row r="48" spans="2:5" ht="28.5" customHeight="1">
      <c r="B48" t="str">
        <f>Dashboard_data!A30</f>
        <v>Rail Extension Delta</v>
      </c>
      <c r="C48" s="18" t="str">
        <f>Dashboard_data!B30</f>
        <v>On Track</v>
      </c>
      <c r="D48" s="79">
        <f>Dashboard_data!C30</f>
        <v>0.10851063829787234</v>
      </c>
      <c r="E48" t="str">
        <f>Dashboard_data!D30</f>
        <v>Emma Lewis</v>
      </c>
    </row>
    <row r="49" spans="2:5" ht="23.5" customHeight="1">
      <c r="B49" t="str">
        <f>Dashboard_data!A31</f>
        <v>Flood Defence Echo</v>
      </c>
      <c r="C49" s="18" t="str">
        <f>Dashboard_data!B31</f>
        <v>On Track</v>
      </c>
      <c r="D49" s="79">
        <f>Dashboard_data!C31</f>
        <v>0.128060263653484</v>
      </c>
      <c r="E49" t="str">
        <f>Dashboard_data!D31</f>
        <v>Daniel Hughes</v>
      </c>
    </row>
  </sheetData>
  <mergeCells count="2">
    <mergeCell ref="B2:M4"/>
    <mergeCell ref="B5:M5"/>
  </mergeCells>
  <conditionalFormatting sqref="C45:C49">
    <cfRule type="iconSet" priority="1">
      <iconSet>
        <cfvo type="percent" val="0"/>
        <cfvo type="percent" val="33"/>
        <cfvo type="percent" val="67"/>
      </iconSet>
    </cfRule>
  </conditionalFormatting>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Projects</vt:lpstr>
      <vt:lpstr>Clients</vt:lpstr>
      <vt:lpstr>Budget</vt:lpstr>
      <vt:lpstr>Cost_Categories</vt:lpstr>
      <vt:lpstr>Actual_Cost</vt:lpstr>
      <vt:lpstr>Cost_Reconciliation</vt:lpstr>
      <vt:lpstr>Variance_Analysis</vt:lpstr>
      <vt:lpstr>Pivot_Analysis</vt:lpstr>
      <vt:lpstr>Dashboard</vt:lpstr>
      <vt:lpstr>Dashboard_data</vt:lpstr>
      <vt:lpstr>Dashboard 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MyYoga</dc:creator>
  <cp:lastModifiedBy>MyYoga</cp:lastModifiedBy>
  <dcterms:created xsi:type="dcterms:W3CDTF">2026-07-20T14:26:08Z</dcterms:created>
  <dcterms:modified xsi:type="dcterms:W3CDTF">2026-08-02T17:18:22Z</dcterms:modified>
</cp:coreProperties>
</file>